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ersão" sheetId="1" state="visible" r:id="rId2"/>
    <sheet name="Sumário" sheetId="2" state="visible" r:id="rId3"/>
    <sheet name="ALI" sheetId="3" state="visible" r:id="rId4"/>
    <sheet name="AIE" sheetId="4" state="visible" r:id="rId5"/>
    <sheet name="EE" sheetId="5" state="visible" r:id="rId6"/>
    <sheet name="SE" sheetId="6" state="visible" r:id="rId7"/>
    <sheet name="CE" sheetId="7" state="visible" r:id="rId8"/>
    <sheet name="Atividades sem contagem de PF" sheetId="8" state="hidden" r:id="rId9"/>
    <sheet name="Item-Roteiro_PONTUA" sheetId="9" state="hidden" r:id="rId10"/>
    <sheet name="Validar" sheetId="10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jx:area(lastCell="M122")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jx:area(lastCell="W32")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jx:area(lastCell="W37")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jx:area(lastCell="W37")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jx:area(lastCell="W37")
</t>
        </r>
      </text>
    </comment>
  </commentList>
</comments>
</file>

<file path=xl/sharedStrings.xml><?xml version="1.0" encoding="utf-8"?>
<sst xmlns="http://schemas.openxmlformats.org/spreadsheetml/2006/main" count="1417" uniqueCount="503">
  <si>
    <t xml:space="preserve">Contagem de Pontos de Função de Projetos</t>
  </si>
  <si>
    <t xml:space="preserve">Identificação da Demanda</t>
  </si>
  <si>
    <t xml:space="preserve">&lt; Informar o nome da aplicação e Solicitação de Serviço a que se refere a contagem &gt;</t>
  </si>
  <si>
    <t xml:space="preserve">Histórico deste documento</t>
  </si>
  <si>
    <t xml:space="preserve">Data</t>
  </si>
  <si>
    <t xml:space="preserve">Versão</t>
  </si>
  <si>
    <t xml:space="preserve">Autor</t>
  </si>
  <si>
    <t xml:space="preserve">Revisor</t>
  </si>
  <si>
    <t xml:space="preserve">Aprovado Por</t>
  </si>
  <si>
    <t xml:space="preserve">Descrição</t>
  </si>
  <si>
    <t xml:space="preserve"> </t>
  </si>
  <si>
    <t xml:space="preserve">Insumos utilizados na Contagem</t>
  </si>
  <si>
    <t xml:space="preserve">Descrição (Nome artefato / Nome e Link da REVISÃO FORMAL)</t>
  </si>
  <si>
    <t xml:space="preserve">Parecer do Estimador</t>
  </si>
  <si>
    <t xml:space="preserve">Roteiro de Métricas:</t>
  </si>
  <si>
    <t xml:space="preserve">Versão Pontua:</t>
  </si>
  <si>
    <t xml:space="preserve">6.1.0</t>
  </si>
  <si>
    <t xml:space="preserve">V36</t>
  </si>
  <si>
    <t xml:space="preserve">Demanda:</t>
  </si>
  <si>
    <t xml:space="preserve">Linguagem:</t>
  </si>
  <si>
    <t xml:space="preserve">Responsável:</t>
  </si>
  <si>
    <t xml:space="preserve">Banco de Dados:</t>
  </si>
  <si>
    <t xml:space="preserve">Processo adotado:</t>
  </si>
  <si>
    <t xml:space="preserve">Plataforma:</t>
  </si>
  <si>
    <t xml:space="preserve">Tipo da Demanda:</t>
  </si>
  <si>
    <t xml:space="preserve">Tipo da Contagem:</t>
  </si>
  <si>
    <t xml:space="preserve">Método de Contagem:</t>
  </si>
  <si>
    <t xml:space="preserve">Propósito e Escopo da Contagem:</t>
  </si>
  <si>
    <t xml:space="preserve">&lt; Descrever qual o propósito da contagem (por exemplo, (i) fornecer uma contagem de PF como insumo para o processo de estimativas de prazos e esforços para o desenvolvimento da aplicação; (ii) fornecer uma contagem de PF da base instalada de aplicações) &gt;</t>
  </si>
  <si>
    <t xml:space="preserve">Fronteira/Aplicação:</t>
  </si>
  <si>
    <t xml:space="preserve">Contagem no PONTUA:</t>
  </si>
  <si>
    <t xml:space="preserve">Observações:</t>
  </si>
  <si>
    <t xml:space="preserve">Resumo da contagem de pontos de função</t>
  </si>
  <si>
    <t xml:space="preserve">Quantidade</t>
  </si>
  <si>
    <t xml:space="preserve">Total de PF</t>
  </si>
  <si>
    <t xml:space="preserve">Baixa</t>
  </si>
  <si>
    <t xml:space="preserve">Média</t>
  </si>
  <si>
    <t xml:space="preserve">Alta</t>
  </si>
  <si>
    <t xml:space="preserve">Baixa </t>
  </si>
  <si>
    <t xml:space="preserve">ALI 
Arquivo Lógico Interno</t>
  </si>
  <si>
    <t xml:space="preserve">Função de Dados</t>
  </si>
  <si>
    <t xml:space="preserve">Retrabalho</t>
  </si>
  <si>
    <t xml:space="preserve">Total de ALI</t>
  </si>
  <si>
    <t xml:space="preserve">AIE
Arquivo de Interface Externa</t>
  </si>
  <si>
    <t xml:space="preserve">Total de AIE</t>
  </si>
  <si>
    <t xml:space="preserve">EE
Entrada Externa</t>
  </si>
  <si>
    <t xml:space="preserve">Função Transacional</t>
  </si>
  <si>
    <t xml:space="preserve">Total de EE</t>
  </si>
  <si>
    <t xml:space="preserve">SE
Saída Externa</t>
  </si>
  <si>
    <t xml:space="preserve">Total de SE</t>
  </si>
  <si>
    <t xml:space="preserve">CE
Consulta Externa</t>
  </si>
  <si>
    <t xml:space="preserve">Total de CE</t>
  </si>
  <si>
    <t xml:space="preserve">PF Função de Dados</t>
  </si>
  <si>
    <t xml:space="preserve">PF Retrabalho</t>
  </si>
  <si>
    <t xml:space="preserve">PF Função Transacional</t>
  </si>
  <si>
    <t xml:space="preserve">Total de PF Bruto</t>
  </si>
  <si>
    <t xml:space="preserve">Sim</t>
  </si>
  <si>
    <t xml:space="preserve">Não</t>
  </si>
  <si>
    <t xml:space="preserve">¹Scope Creep:</t>
  </si>
  <si>
    <t xml:space="preserve">Percentual: </t>
  </si>
  <si>
    <t xml:space="preserve">Help:</t>
  </si>
  <si>
    <t xml:space="preserve">GRS:</t>
  </si>
  <si>
    <t xml:space="preserve">Testes Não Funcionais:</t>
  </si>
  <si>
    <t xml:space="preserve">Roteiro de Homologação:</t>
  </si>
  <si>
    <t xml:space="preserve">² Fator de Criticidade:</t>
  </si>
  <si>
    <t xml:space="preserve">³ Redução de Cronograma:</t>
  </si>
  <si>
    <t xml:space="preserve">Projeto cancelado:</t>
  </si>
  <si>
    <t xml:space="preserve">Fase: </t>
  </si>
  <si>
    <t xml:space="preserve">Planejamento: 5%</t>
  </si>
  <si>
    <t xml:space="preserve">Atenção: Os fatores destacados não se aplicam a alguns roteiros, por exemplo, o Roteiro SISP.</t>
  </si>
  <si>
    <t xml:space="preserve">Favor verificar se esses percentuais são aplicáveis ao Roteiro do seu Cliente.</t>
  </si>
  <si>
    <t xml:space="preserve">¹ Scope Creep só pode ser usado na estimativa inicial</t>
  </si>
  <si>
    <t xml:space="preserve">² Fator de Criticidade só é aplicável a projetos inferiores a 100 PF</t>
  </si>
  <si>
    <t xml:space="preserve">Projeto X Prazo Máx. (em dias úteis)</t>
  </si>
  <si>
    <t xml:space="preserve">Projetos Complex. Baixa</t>
  </si>
  <si>
    <t xml:space="preserve">Projetos Complex. Média</t>
  </si>
  <si>
    <t xml:space="preserve">Até 10 PF</t>
  </si>
  <si>
    <t xml:space="preserve">09 dias</t>
  </si>
  <si>
    <t xml:space="preserve">15 dias</t>
  </si>
  <si>
    <t xml:space="preserve">De 11 PF a 20 PF</t>
  </si>
  <si>
    <t xml:space="preserve">18 dias</t>
  </si>
  <si>
    <t xml:space="preserve">30 dias</t>
  </si>
  <si>
    <t xml:space="preserve">De 21 PF a 30 PF</t>
  </si>
  <si>
    <t xml:space="preserve">27 dias</t>
  </si>
  <si>
    <t xml:space="preserve">45 dias</t>
  </si>
  <si>
    <t xml:space="preserve">De 31 PF a 40 PF</t>
  </si>
  <si>
    <t xml:space="preserve">36 dias</t>
  </si>
  <si>
    <t xml:space="preserve">60 dias</t>
  </si>
  <si>
    <t xml:space="preserve">De 41 PF a 50 PF</t>
  </si>
  <si>
    <t xml:space="preserve">75 dias</t>
  </si>
  <si>
    <t xml:space="preserve">De 51 PF a 60 PF</t>
  </si>
  <si>
    <t xml:space="preserve">54 dias</t>
  </si>
  <si>
    <t xml:space="preserve">90 dias</t>
  </si>
  <si>
    <t xml:space="preserve">De 61 PF a 70 PF</t>
  </si>
  <si>
    <t xml:space="preserve">63 dias</t>
  </si>
  <si>
    <t xml:space="preserve">105 dias</t>
  </si>
  <si>
    <t xml:space="preserve">De 71 PF a 85 PF</t>
  </si>
  <si>
    <t xml:space="preserve">70 dias</t>
  </si>
  <si>
    <t xml:space="preserve">110 dias</t>
  </si>
  <si>
    <t xml:space="preserve">De 86 PF a 99 PF</t>
  </si>
  <si>
    <t xml:space="preserve">79 dias</t>
  </si>
  <si>
    <t xml:space="preserve">³ Redução de Cronograma só é aplicável a projetos maiores que 100 PF</t>
  </si>
  <si>
    <t xml:space="preserve">-Redução de prazo de 10%: aumento de esforço de 20% (projetos urgentes)</t>
  </si>
  <si>
    <t xml:space="preserve">-Redução de prazo de 20%: aumento de esforço de 50% (projetos críticos)</t>
  </si>
  <si>
    <t xml:space="preserve">-Redução de prazo de 25%: aumento de esforço de 70% (projetos de alta criticidade)</t>
  </si>
  <si>
    <t xml:space="preserve">Estimativa de Esforço</t>
  </si>
  <si>
    <t xml:space="preserve">¹ Produtividade </t>
  </si>
  <si>
    <t xml:space="preserve">HH por PF (produtividade da equipe, informada pelo LP )</t>
  </si>
  <si>
    <t xml:space="preserve">Esforço Total = (PF Total * Produtividade) </t>
  </si>
  <si>
    <t xml:space="preserve">HD (Homem-Dia)</t>
  </si>
  <si>
    <t xml:space="preserve">HH (Homem-Hora)</t>
  </si>
  <si>
    <t xml:space="preserve">Estimativas para projetos acima de 100 PF</t>
  </si>
  <si>
    <t xml:space="preserve">Informe o Expoente t:</t>
  </si>
  <si>
    <t xml:space="preserve">Nenhum</t>
  </si>
  <si>
    <t xml:space="preserve">² Prazo Estimado de Desenvolvimento (Tamanho Previsto ^ Expoente):</t>
  </si>
  <si>
    <t xml:space="preserve">³ Prazo Mínimo de Desenvolvimento (Prazo Estimado de Desenvolvimento * 0,75):</t>
  </si>
  <si>
    <t xml:space="preserve">Produtividade Diária (h/dia): </t>
  </si>
  <si>
    <t xml:space="preserve">horas</t>
  </si>
  <si>
    <t xml:space="preserve">Equipe (Esforço Previsto / 21 * Produtividade Diária * Prazo Estimado de Desenvolvimento):</t>
  </si>
  <si>
    <t xml:space="preserve">pessoas</t>
  </si>
  <si>
    <t xml:space="preserve">Atenção:</t>
  </si>
  <si>
    <t xml:space="preserve">¹ As informações da Tabela de Produtividade estão disponíveis na página do EMPF no link Roteiro SERPRO de Contagem de Pontos de Função e Estimativas (Tabela 6).</t>
  </si>
  <si>
    <t xml:space="preserve">² Se a utilização de prazos menores que o Prazo Estimado de Desenvolvimento causar aumento de esforço para o projeto, poderão ser utilizadas as Considerações sobre Redução de Cronograma do Roteiro Serpro. Poderão ser estabelecidos prazos maiores que o Prazo Estimado de Desenvolvimento desde que negociados com o cliente.</t>
  </si>
  <si>
    <t xml:space="preserve">³ O LP poderá estabelecer um prazo menor que o mínimo recomendado, desde que tenha analisado sua viabilidade em seu planejamento. Caso seja determinado pelo cliente um prazo menor que o mínimo e este prazo seja inviável, poderão ser utilizadas as recomendações de prazo do Roteiro Serpro como justificativa.</t>
  </si>
  <si>
    <t xml:space="preserve">Expoentes Capers Jones</t>
  </si>
  <si>
    <t xml:space="preserve">0,32 – Sistema mainframe com baixa complexidade</t>
  </si>
  <si>
    <t xml:space="preserve">0,33 – Sistema mainframe</t>
  </si>
  <si>
    <t xml:space="preserve">0,34 – Sistema web ou cliente servidor com baixa complexidade</t>
  </si>
  <si>
    <t xml:space="preserve">0,35 – Sistema web ou cliente servidor</t>
  </si>
  <si>
    <t xml:space="preserve">0,36 – Sistema OO com alta complexidade</t>
  </si>
  <si>
    <t xml:space="preserve">0,37 – Sistema web ou cliente servidor com complexidade arquitetural e/ou integrações</t>
  </si>
  <si>
    <t xml:space="preserve">0,39 – Sistemas com muitas integrações, datawarehouse, geoprocessamento, workflow</t>
  </si>
  <si>
    <t xml:space="preserve">0,40 – Software básico, frameworks, desenvolvimento ou manutenção de componentes</t>
  </si>
  <si>
    <t xml:space="preserve">Redução de Cronograma</t>
  </si>
  <si>
    <t xml:space="preserve">%</t>
  </si>
  <si>
    <t xml:space="preserve">Projeto Urgente</t>
  </si>
  <si>
    <t xml:space="preserve">Projeto Crítico</t>
  </si>
  <si>
    <t xml:space="preserve">Projeto Alta Criticidade</t>
  </si>
  <si>
    <t xml:space="preserve">Requisitos: 20%</t>
  </si>
  <si>
    <t xml:space="preserve">Design: 10%</t>
  </si>
  <si>
    <t xml:space="preserve">Implementação: 40%</t>
  </si>
  <si>
    <t xml:space="preserve">Testes: 15%</t>
  </si>
  <si>
    <t xml:space="preserve">Homologação: 5%</t>
  </si>
  <si>
    <t xml:space="preserve">Implantação: 5%</t>
  </si>
  <si>
    <t xml:space="preserve">Identificação da Demanda:</t>
  </si>
  <si>
    <t xml:space="preserve">Formulário de Identificação de Arquivos Lógicos Internos (ALI)</t>
  </si>
  <si>
    <t xml:space="preserve">Orientações</t>
  </si>
  <si>
    <t xml:space="preserve">Evite editar os dados apresentados, cadastrar novas funcionalidades e/ou alterar seus dados. Esta planilha não realiza cálculos nas funções. Os dados da função foram exportados do Pontua, inclusive a Complexidade e o PF. O valor do PF foi calculado conforme Roteiro de Métricas informado na Contagem cadastrada na aplicação. Do Item de Roteiro é feita a equivalência para Tipo de Demanda e Classificação.</t>
  </si>
  <si>
    <t xml:space="preserve">¹ Em caso de cópia de Tipo de Demanda e/ou Classificação – colar o conteúdo em modo texto puro pois as células possuem fórmulas (menu “Editar” - “Colar Especial...” - “Texto”)</t>
  </si>
  <si>
    <t xml:space="preserve">Caso seja necessário transfira o conteúdo para a planilha do respectivo cliente. As planilhas podem ser obtidas na página do Escritório de Métricas:</t>
  </si>
  <si>
    <t xml:space="preserve">https://gitcorporativo.serpro/supde/SUPDE-EMPF/wikis/home </t>
  </si>
  <si>
    <t xml:space="preserve">Nome do ALI</t>
  </si>
  <si>
    <t xml:space="preserve">RL</t>
  </si>
  <si>
    <t xml:space="preserve">Memória RL</t>
  </si>
  <si>
    <t xml:space="preserve">TD's</t>
  </si>
  <si>
    <t xml:space="preserve">Memória TD</t>
  </si>
  <si>
    <t xml:space="preserve">Tipo de Demanda ¹</t>
  </si>
  <si>
    <t xml:space="preserve">Classificação</t>
  </si>
  <si>
    <t xml:space="preserve">Compl</t>
  </si>
  <si>
    <t xml:space="preserve">PF</t>
  </si>
  <si>
    <t xml:space="preserve">PF Cheio</t>
  </si>
  <si>
    <t xml:space="preserve">Rastreabilidade / Justificativa / Motivo-Comentário</t>
  </si>
  <si>
    <t xml:space="preserve">Marcadores de Grupo</t>
  </si>
  <si>
    <t xml:space="preserve">Qtd de ALI</t>
  </si>
  <si>
    <t xml:space="preserve">Complexidade</t>
  </si>
  <si>
    <t xml:space="preserve">Dados</t>
  </si>
  <si>
    <t xml:space="preserve">Total</t>
  </si>
  <si>
    <t xml:space="preserve">${demanda.nome}</t>
  </si>
  <si>
    <t xml:space="preserve">Formulário de Identificação de Arquivos Interface Externa (AIE)</t>
  </si>
  <si>
    <t xml:space="preserve">Nome do AIE</t>
  </si>
  <si>
    <t xml:space="preserve">Qtd de AIE</t>
  </si>
  <si>
    <t xml:space="preserve">Formulário de Identificação de Entradas Externas (EE)</t>
  </si>
  <si>
    <t xml:space="preserve">Nome do EE</t>
  </si>
  <si>
    <t xml:space="preserve">AR</t>
  </si>
  <si>
    <t xml:space="preserve">Memória AR</t>
  </si>
  <si>
    <t xml:space="preserve">Item de Roteiro – PONTUA</t>
  </si>
  <si>
    <t xml:space="preserve">Qtd de EE</t>
  </si>
  <si>
    <t xml:space="preserve">Transacional</t>
  </si>
  <si>
    <t xml:space="preserve">PF Cheio desprezado nos Testes Não Func e Help</t>
  </si>
  <si>
    <t xml:space="preserve">Povoamento de Homologação</t>
  </si>
  <si>
    <t xml:space="preserve">PF Deflacionado desprezado no GRS</t>
  </si>
  <si>
    <t xml:space="preserve">Formulário de Identificação de Saídas Externas (SE)</t>
  </si>
  <si>
    <t xml:space="preserve">Nome do SE</t>
  </si>
  <si>
    <t xml:space="preserve">Qtd de SE</t>
  </si>
  <si>
    <t xml:space="preserve">Formulário de Identificação de Consultas Externas (CE)</t>
  </si>
  <si>
    <t xml:space="preserve">Nome do CE</t>
  </si>
  <si>
    <t xml:space="preserve">Qtd de CE</t>
  </si>
  <si>
    <t xml:space="preserve">ITEM DE ROTEIRO - PONTUA</t>
  </si>
  <si>
    <t xml:space="preserve">EQUIVALÊNCIA - Tipo de Demanda</t>
  </si>
  <si>
    <t xml:space="preserve">EQUIVALÊNCIA - Classificação</t>
  </si>
  <si>
    <t xml:space="preserve">AESP - BD - Pós Consulta</t>
  </si>
  <si>
    <t xml:space="preserve">Apuração Especial - Base de Dados – após consulta</t>
  </si>
  <si>
    <t xml:space="preserve">Incluída</t>
  </si>
  <si>
    <t xml:space="preserve">AESP - BD - Sem Consulta</t>
  </si>
  <si>
    <t xml:space="preserve">Apuração Especial - Base de Dados – sem consulta</t>
  </si>
  <si>
    <t xml:space="preserve">AESP - BD - Somente Consulta ou Consulta Prévia</t>
  </si>
  <si>
    <t xml:space="preserve">Apuração Especial - Base de Dados – somente consulta</t>
  </si>
  <si>
    <t xml:space="preserve">AESP - Execução - Alteração de Parâmetros</t>
  </si>
  <si>
    <t xml:space="preserve">AESP - Geração de Relatórios</t>
  </si>
  <si>
    <t xml:space="preserve">Apuração Especial - Geração de Relatórios</t>
  </si>
  <si>
    <t xml:space="preserve">AESP - Reexecução</t>
  </si>
  <si>
    <t xml:space="preserve">Apuração Especial – Reexecução</t>
  </si>
  <si>
    <t xml:space="preserve">Atualização de Dados / Domínio</t>
  </si>
  <si>
    <t xml:space="preserve">Atualização de dados e PF de Domínio</t>
  </si>
  <si>
    <t xml:space="preserve">Atualização de Versão - BD</t>
  </si>
  <si>
    <t xml:space="preserve">Atualização de Plataforma – Banco de Dados</t>
  </si>
  <si>
    <t xml:space="preserve">Alterada</t>
  </si>
  <si>
    <t xml:space="preserve">Atualização de Versão - Browser</t>
  </si>
  <si>
    <t xml:space="preserve">Atualização de Plataforma – Browser</t>
  </si>
  <si>
    <t xml:space="preserve">Atualização de Versão - LP</t>
  </si>
  <si>
    <t xml:space="preserve">Atualização de Plataforma – Linguagem de Programação</t>
  </si>
  <si>
    <t xml:space="preserve">Atualização de Versão - Sistema Operacional</t>
  </si>
  <si>
    <t xml:space="preserve">Atualização de Plataforma – Sistema Operacional</t>
  </si>
  <si>
    <t xml:space="preserve">Componente - Alterada - Arquivo Configuração</t>
  </si>
  <si>
    <t xml:space="preserve">Componente Interno Reusável</t>
  </si>
  <si>
    <t xml:space="preserve">Componente - Alterada - Sistema Empresa</t>
  </si>
  <si>
    <t xml:space="preserve">Componente - Alterada - Sistema Outros - Com Redoc.</t>
  </si>
  <si>
    <t xml:space="preserve">Componente - Alterada - Sistema Outros - Sem Redoc.</t>
  </si>
  <si>
    <t xml:space="preserve">Componente - Excluída</t>
  </si>
  <si>
    <t xml:space="preserve">Excluída</t>
  </si>
  <si>
    <t xml:space="preserve">Componente - Incluída</t>
  </si>
  <si>
    <t xml:space="preserve">Desenvolvimento - Conversão</t>
  </si>
  <si>
    <t xml:space="preserve">Desenvolvimento</t>
  </si>
  <si>
    <t xml:space="preserve">Conversão</t>
  </si>
  <si>
    <t xml:space="preserve">Desenvolvimento - Incluída</t>
  </si>
  <si>
    <t xml:space="preserve">Documentação Sistemas - Alterada</t>
  </si>
  <si>
    <t xml:space="preserve">Manutenção de Documentação de Sistemas Legados</t>
  </si>
  <si>
    <t xml:space="preserve">Documentação Sistemas - Incluída</t>
  </si>
  <si>
    <t xml:space="preserve">DW - Dimensão Estática</t>
  </si>
  <si>
    <t xml:space="preserve">DW – Dimensão Estática</t>
  </si>
  <si>
    <t xml:space="preserve">DW - Filtro de Relatório</t>
  </si>
  <si>
    <t xml:space="preserve">DW – Filtro de Relatório</t>
  </si>
  <si>
    <t xml:space="preserve">DW - Filtro de Segurança</t>
  </si>
  <si>
    <t xml:space="preserve">DW – Filtro de Segurança</t>
  </si>
  <si>
    <t xml:space="preserve">DW - Metadados - Dimensão Estática</t>
  </si>
  <si>
    <t xml:space="preserve">DW – Metadados Code Data</t>
  </si>
  <si>
    <t xml:space="preserve">DW - Metadados - Negócio</t>
  </si>
  <si>
    <t xml:space="preserve">DW – Metadados</t>
  </si>
  <si>
    <t xml:space="preserve">DW - Reorganização de Bancada</t>
  </si>
  <si>
    <t xml:space="preserve">DW – Reorganização Bancada</t>
  </si>
  <si>
    <t xml:space="preserve">Manutenção Adaptativa RNF - Sistema Empresa</t>
  </si>
  <si>
    <t xml:space="preserve">Manutenção Adaptativa em Requisitos Não Funcionais / Preventiva</t>
  </si>
  <si>
    <t xml:space="preserve">Manutenção Adaptativa RNF - Sistema Outros - Com Redoc.</t>
  </si>
  <si>
    <t xml:space="preserve">Manutenção Adaptativa RNF - Sistema Outros - Sem Redoc.</t>
  </si>
  <si>
    <t xml:space="preserve">Manutenção Corretiva - Garantia</t>
  </si>
  <si>
    <t xml:space="preserve">Manutenção Corretiva</t>
  </si>
  <si>
    <t xml:space="preserve">Manutenção Corretiva - Sistema Empresa</t>
  </si>
  <si>
    <t xml:space="preserve">Manutenção Corretiva - Sistema Outros - Com Redoc.</t>
  </si>
  <si>
    <t xml:space="preserve">Manutenção Corretiva - Sistema Outros - Sem Redoc.</t>
  </si>
  <si>
    <t xml:space="preserve">Manutenção de Interface</t>
  </si>
  <si>
    <t xml:space="preserve">Manutenção em Interface</t>
  </si>
  <si>
    <t xml:space="preserve">Manutenção de Interface - Incluída</t>
  </si>
  <si>
    <t xml:space="preserve">Massa de Dados</t>
  </si>
  <si>
    <t xml:space="preserve">Massa de Dados - Manutenção Corretiva</t>
  </si>
  <si>
    <t xml:space="preserve">Help</t>
  </si>
  <si>
    <t xml:space="preserve">Melhoria - Alterada - Sistema Empresa</t>
  </si>
  <si>
    <t xml:space="preserve">Melhoria</t>
  </si>
  <si>
    <t xml:space="preserve">Melhoria - Alterada - Sistema Outros - Com Redoc.</t>
  </si>
  <si>
    <t xml:space="preserve">Melhoria - Alterada - Sistema Outros - Sem Redoc.</t>
  </si>
  <si>
    <t xml:space="preserve">Melhoria - Conversão</t>
  </si>
  <si>
    <t xml:space="preserve">Melhoria - Excluída</t>
  </si>
  <si>
    <t xml:space="preserve">Melhoria - Incluída</t>
  </si>
  <si>
    <t xml:space="preserve">Migração</t>
  </si>
  <si>
    <t xml:space="preserve">Migração de Dados</t>
  </si>
  <si>
    <t xml:space="preserve">Retrabalho Alteração de Interface - Fase Design, Arquitetura</t>
  </si>
  <si>
    <t xml:space="preserve">Retrabalho Alteração de Interface</t>
  </si>
  <si>
    <t xml:space="preserve">Fase Design, Arquitetura</t>
  </si>
  <si>
    <t xml:space="preserve">Retrabalho Alteração de Interface - Fase Engenharia de Requisitos</t>
  </si>
  <si>
    <t xml:space="preserve">Fase Engenharia de Requisitos</t>
  </si>
  <si>
    <t xml:space="preserve">Retrabalho Alteração de Interface - Fase Homologação</t>
  </si>
  <si>
    <t xml:space="preserve">Fase Homologação</t>
  </si>
  <si>
    <t xml:space="preserve">Retrabalho Alteração de Interface - Fase Implementação</t>
  </si>
  <si>
    <t xml:space="preserve">Fase Implementação</t>
  </si>
  <si>
    <t xml:space="preserve">Retrabalho Alteração de Interface - Fase Testes</t>
  </si>
  <si>
    <t xml:space="preserve">Fase Testes</t>
  </si>
  <si>
    <t xml:space="preserve">Retrabalho Alteração de Requisitos - Fase Design, Arquitetura</t>
  </si>
  <si>
    <t xml:space="preserve">Retrabalho Alteração de Requisitos</t>
  </si>
  <si>
    <t xml:space="preserve">Retrabalho Alteração de Requisitos - Fase Engenharia de Requisitos</t>
  </si>
  <si>
    <t xml:space="preserve">Retrabalho Alteração de Requisitos - Fase Homologação</t>
  </si>
  <si>
    <t xml:space="preserve">Retrabalho Alteração de Requisitos - Fase Implementação</t>
  </si>
  <si>
    <t xml:space="preserve">Retrabalho Alteração de Requisitos - Fase Testes</t>
  </si>
  <si>
    <t xml:space="preserve">Retrabalho Desistência - Alterar Função - Fase Design, Arquitetura</t>
  </si>
  <si>
    <t xml:space="preserve">Retrabalho Desistência – Alterar Função</t>
  </si>
  <si>
    <t xml:space="preserve">Retrabalho Desistência - Alterar Função - Fase Engenharia de Requisitos</t>
  </si>
  <si>
    <t xml:space="preserve">Retrabalho Desistência - Alterar Função - Fase Homologação</t>
  </si>
  <si>
    <t xml:space="preserve">Retrabalho Desistência - Alterar Função - Fase Implementação</t>
  </si>
  <si>
    <t xml:space="preserve">Retrabalho Desistência - Alterar Função - Fase Testes</t>
  </si>
  <si>
    <t xml:space="preserve">Retrabalho Desistência - Excluir Função - Fase Design, Arquitetura</t>
  </si>
  <si>
    <t xml:space="preserve">Retrabalho Desistência – Excluir Função</t>
  </si>
  <si>
    <t xml:space="preserve">Retrabalho Desistência - Excluir Função - Fase Engenharia de Requisitos</t>
  </si>
  <si>
    <t xml:space="preserve">Retrabalho Desistência - Excluir Função - Fase Homologação</t>
  </si>
  <si>
    <t xml:space="preserve">Retrabalho Desistência - Excluir Função - Fase Implementação</t>
  </si>
  <si>
    <t xml:space="preserve">Retrabalho Desistência - Excluir Função - Fase Testes</t>
  </si>
  <si>
    <t xml:space="preserve">Retrabalho Desistência - Incluir Função - Fase Design, Arquitetura</t>
  </si>
  <si>
    <t xml:space="preserve">Retrabalho Desistência – Incluir Função</t>
  </si>
  <si>
    <t xml:space="preserve">Retrabalho Desistência - Incluir Função - Fase Engenharia de Requisitos</t>
  </si>
  <si>
    <t xml:space="preserve">Retrabalho Desistência - Incluir Função - Fase Homologação</t>
  </si>
  <si>
    <t xml:space="preserve">Retrabalho Desistência - Incluir Função - Fase Implementação</t>
  </si>
  <si>
    <t xml:space="preserve">Retrabalho Desistência - Incluir Função - Fase Testes</t>
  </si>
  <si>
    <t xml:space="preserve">Mudança de Plataforma - BD Hierárquico</t>
  </si>
  <si>
    <t xml:space="preserve">Redesenvolvimento em outra plataforma – Banco de Dados Hierárquico</t>
  </si>
  <si>
    <t xml:space="preserve">Mudança de Plataforma - BD Relacional</t>
  </si>
  <si>
    <t xml:space="preserve">Redesenvolvimento em outra plataforma – Banco de Dados Relacional</t>
  </si>
  <si>
    <t xml:space="preserve">Mudança de Plataforma - Conversão - BD Hierárquico</t>
  </si>
  <si>
    <t xml:space="preserve">Mudança de Plataforma - Conversão - BD Relacional</t>
  </si>
  <si>
    <t xml:space="preserve">Mudança de Plataforma - Conversão - LP</t>
  </si>
  <si>
    <t xml:space="preserve">Redesenvolvimento em outra plataforma – Linguagem de Programação</t>
  </si>
  <si>
    <t xml:space="preserve">Mudança de Plataforma - Incluída - BD Hierárquico</t>
  </si>
  <si>
    <t xml:space="preserve">Mudança de Plataforma - Incluída - BD Relacional</t>
  </si>
  <si>
    <t xml:space="preserve">Mudança de Plataforma - Incluída - LP</t>
  </si>
  <si>
    <t xml:space="preserve">Mudança de Plataforma - LP</t>
  </si>
  <si>
    <t xml:space="preserve">Publicação de Página Estática</t>
  </si>
  <si>
    <t xml:space="preserve">Manutenção em Páginas Estáticas</t>
  </si>
  <si>
    <t xml:space="preserve">Testes Funcionais</t>
  </si>
  <si>
    <t xml:space="preserve">Pontos de Função de Testes Funcionais</t>
  </si>
  <si>
    <t xml:space="preserve">Testes Não Funcionais</t>
  </si>
  <si>
    <t xml:space="preserve">Testes Não Funcionais / Interoperabilidade</t>
  </si>
  <si>
    <t xml:space="preserve">Verificação de Erros - com Documentação de Testes</t>
  </si>
  <si>
    <t xml:space="preserve">Verificação de Erros</t>
  </si>
  <si>
    <t xml:space="preserve">Verificação de Erros - sem Documentação de Testes</t>
  </si>
  <si>
    <t xml:space="preserve">Roteiro Serpro</t>
  </si>
  <si>
    <t xml:space="preserve">V7.6</t>
  </si>
  <si>
    <t xml:space="preserve">.</t>
  </si>
  <si>
    <t xml:space="preserve">Plataforma</t>
  </si>
  <si>
    <t xml:space="preserve">CLASSIFICAÇÃO</t>
  </si>
  <si>
    <t xml:space="preserve">Tipo</t>
  </si>
  <si>
    <t xml:space="preserve">Fator Serpro</t>
  </si>
  <si>
    <t xml:space="preserve">Fator RFB</t>
  </si>
  <si>
    <t xml:space="preserve">Forma de Cálculo</t>
  </si>
  <si>
    <t xml:space="preserve">Funcionalidades</t>
  </si>
  <si>
    <t xml:space="preserve">UNIX</t>
  </si>
  <si>
    <t xml:space="preserve">P</t>
  </si>
  <si>
    <t xml:space="preserve">ALI</t>
  </si>
  <si>
    <t xml:space="preserve">AIE</t>
  </si>
  <si>
    <t xml:space="preserve">EE</t>
  </si>
  <si>
    <t xml:space="preserve">SE</t>
  </si>
  <si>
    <t xml:space="preserve">CE</t>
  </si>
  <si>
    <t xml:space="preserve">CPM</t>
  </si>
  <si>
    <t xml:space="preserve">v4.3.1</t>
  </si>
  <si>
    <t xml:space="preserve">Grande Porte</t>
  </si>
  <si>
    <t xml:space="preserve">WEB</t>
  </si>
  <si>
    <t xml:space="preserve">Linguagem</t>
  </si>
  <si>
    <t xml:space="preserve">WINDOWS</t>
  </si>
  <si>
    <t xml:space="preserve">Melhoria - Alterada</t>
  </si>
  <si>
    <t xml:space="preserve">ACCESS</t>
  </si>
  <si>
    <t xml:space="preserve">LINUX</t>
  </si>
  <si>
    <t xml:space="preserve">ASP </t>
  </si>
  <si>
    <t xml:space="preserve">ASPNET</t>
  </si>
  <si>
    <t xml:space="preserve">Tipo de Contagem</t>
  </si>
  <si>
    <t xml:space="preserve">Migração de Dados - Incluída</t>
  </si>
  <si>
    <t xml:space="preserve">ASSEMBLER</t>
  </si>
  <si>
    <t xml:space="preserve">Estimativa Inicial</t>
  </si>
  <si>
    <t xml:space="preserve">Migração de Dados - Conversão</t>
  </si>
  <si>
    <t xml:space="preserve">BASIC</t>
  </si>
  <si>
    <t xml:space="preserve">Contagem de Referência</t>
  </si>
  <si>
    <t xml:space="preserve">Manutenção Corretiva - Alterada</t>
  </si>
  <si>
    <t xml:space="preserve">C</t>
  </si>
  <si>
    <t xml:space="preserve">Contagem de Encerramento</t>
  </si>
  <si>
    <t xml:space="preserve">Redesenvolvimento em outra plataforma – Linguagem de Programação - Incluída</t>
  </si>
  <si>
    <t xml:space="preserve">C#</t>
  </si>
  <si>
    <t xml:space="preserve">Fase Implantação</t>
  </si>
  <si>
    <t xml:space="preserve">Redesenvolvimento em outra plataforma – Linguagem de Programação - Conversão</t>
  </si>
  <si>
    <t xml:space="preserve">C++</t>
  </si>
  <si>
    <t xml:space="preserve">Redesenvolvimento em outra plataforma – Banco de Dados Hierárquico - Incluída</t>
  </si>
  <si>
    <t xml:space="preserve">CKAN</t>
  </si>
  <si>
    <t xml:space="preserve">Redesenvolvimento em outra plataforma – Banco de Dados Hierárquico - Conversão</t>
  </si>
  <si>
    <t xml:space="preserve">CLIPPER</t>
  </si>
  <si>
    <t xml:space="preserve">Redesenvolvimento em outra plataforma – Banco de Dados Relacional  - Alterada</t>
  </si>
  <si>
    <t xml:space="preserve">COBOL</t>
  </si>
  <si>
    <t xml:space="preserve">Tipos de demanda</t>
  </si>
  <si>
    <t xml:space="preserve">Redesenvolvimento em outra plataforma – Banco de Dados Relacional  - Conversão</t>
  </si>
  <si>
    <t xml:space="preserve">CSP</t>
  </si>
  <si>
    <t xml:space="preserve">Atualização de Plataforma – Linguagem de Programação - Alterada</t>
  </si>
  <si>
    <t xml:space="preserve">Dardo /Netuno</t>
  </si>
  <si>
    <t xml:space="preserve">Atualização de Plataforma – Browser - Alterada</t>
  </si>
  <si>
    <t xml:space="preserve">DATA DISCOVERY</t>
  </si>
  <si>
    <t xml:space="preserve">Versão / autor</t>
  </si>
  <si>
    <t xml:space="preserve">Atualização de Plataforma – Banco de Dados - Alterada</t>
  </si>
  <si>
    <t xml:space="preserve">DELPHI</t>
  </si>
  <si>
    <t xml:space="preserve">36 – Edilson (correção do cálculo de Help nas abas Serpro e Sumário que devem incidir sobre PF Cheio)</t>
  </si>
  <si>
    <t xml:space="preserve">Manutenção em Interface - Alterada</t>
  </si>
  <si>
    <t xml:space="preserve">F</t>
  </si>
  <si>
    <t xml:space="preserve">Dot Net (.Net)</t>
  </si>
  <si>
    <t xml:space="preserve">35 – Luciano Buzzacaro (Inclusão do 'Componente Interno Reusável – Excluída' linha i88)</t>
  </si>
  <si>
    <t xml:space="preserve">Manutenção em Interface - Help</t>
  </si>
  <si>
    <t xml:space="preserve">EXCEL</t>
  </si>
  <si>
    <t xml:space="preserve">34 – Edilson Eloy</t>
  </si>
  <si>
    <t xml:space="preserve">Manutenção Adaptativa em Requisitos Não Funcionais / Preventiva - Alterada</t>
  </si>
  <si>
    <t xml:space="preserve">FORMS/REPORTS/ORACLE</t>
  </si>
  <si>
    <t xml:space="preserve">Redesenvolvimento em outra plataforma – Banco de Dados Relacional </t>
  </si>
  <si>
    <t xml:space="preserve">Apuração Especial - Base de Dados – sem consulta - Incluída</t>
  </si>
  <si>
    <t xml:space="preserve">HTML</t>
  </si>
  <si>
    <t xml:space="preserve">Apuração Especial - Base de Dados – somente consulta - Incluída</t>
  </si>
  <si>
    <t xml:space="preserve">JAVA</t>
  </si>
  <si>
    <t xml:space="preserve">v36</t>
  </si>
  <si>
    <t xml:space="preserve">Apuração Especial - Base de Dados – após consulta - Incluída</t>
  </si>
  <si>
    <t xml:space="preserve">Java AndroMDA</t>
  </si>
  <si>
    <t xml:space="preserve">Apuração Especial - Geração de Relatórios - Incluída</t>
  </si>
  <si>
    <t xml:space="preserve">Java Demoiselle V 1.0</t>
  </si>
  <si>
    <t xml:space="preserve">Processo</t>
  </si>
  <si>
    <t xml:space="preserve">Apuração Especial – Reexecução - Incluída</t>
  </si>
  <si>
    <t xml:space="preserve">Java Demoiselle V 2.0</t>
  </si>
  <si>
    <t xml:space="preserve">Sumário</t>
  </si>
  <si>
    <t xml:space="preserve">Apuração Especial – Reexecução - Alterada</t>
  </si>
  <si>
    <t xml:space="preserve">Java Flex</t>
  </si>
  <si>
    <t xml:space="preserve">Completo</t>
  </si>
  <si>
    <t xml:space="preserve">Atualização de dados e PF de Domínio - Incluída</t>
  </si>
  <si>
    <t xml:space="preserve">Java Script</t>
  </si>
  <si>
    <t xml:space="preserve">Expresso</t>
  </si>
  <si>
    <t xml:space="preserve">Manutenção em Páginas Estáticas - Incluída</t>
  </si>
  <si>
    <t xml:space="preserve">Java Web</t>
  </si>
  <si>
    <t xml:space="preserve">Ágil</t>
  </si>
  <si>
    <t xml:space="preserve">Manutenção em Páginas Estáticas - Alterada</t>
  </si>
  <si>
    <t xml:space="preserve">JCUPIM</t>
  </si>
  <si>
    <t xml:space="preserve">Manutenção de Documentação de Sistemas Legados - Incluída</t>
  </si>
  <si>
    <t xml:space="preserve">JOOMLA</t>
  </si>
  <si>
    <t xml:space="preserve">Manutenção de Documentação de Sistemas Legados - Alterada</t>
  </si>
  <si>
    <t xml:space="preserve">LASER XEROX</t>
  </si>
  <si>
    <t xml:space="preserve">Verificação de Erros - Incluída</t>
  </si>
  <si>
    <t xml:space="preserve">LIFERAY</t>
  </si>
  <si>
    <t xml:space="preserve">Manutenção Adaptativa</t>
  </si>
  <si>
    <t xml:space="preserve">Verificação de Erros - Alterada</t>
  </si>
  <si>
    <t xml:space="preserve">LIGHTBASE</t>
  </si>
  <si>
    <t xml:space="preserve">Manutenção Evolutiva</t>
  </si>
  <si>
    <t xml:space="preserve">Testes Não Funcionais / Interoperabilidade - Incluída</t>
  </si>
  <si>
    <t xml:space="preserve">LOTUS NOTES</t>
  </si>
  <si>
    <t xml:space="preserve">Testes Não Funcionais / Interoperabilidade - Alterada</t>
  </si>
  <si>
    <t xml:space="preserve">LTD</t>
  </si>
  <si>
    <t xml:space="preserve">Apuração Especial</t>
  </si>
  <si>
    <t xml:space="preserve">Pontos de Função de Testes Funcionais - Incluída</t>
  </si>
  <si>
    <t xml:space="preserve">MIDDLEWARE</t>
  </si>
  <si>
    <t xml:space="preserve">Componente Interno Reusável - Incluída</t>
  </si>
  <si>
    <t xml:space="preserve">MOBILE - ANDROID</t>
  </si>
  <si>
    <t xml:space="preserve">Componente Interno Reusável - Alterada</t>
  </si>
  <si>
    <t xml:space="preserve">MOBILE - ANDROID E IOS </t>
  </si>
  <si>
    <t xml:space="preserve">MOBILE - HTML 5 e JQUERY MOBILE </t>
  </si>
  <si>
    <t xml:space="preserve">MOBILE - IOS</t>
  </si>
  <si>
    <t xml:space="preserve">MOBILE - PHONEGAP </t>
  </si>
  <si>
    <t xml:space="preserve">MOBILE - Windows Phone</t>
  </si>
  <si>
    <t xml:space="preserve">NATURAL (Batch e On-Line) </t>
  </si>
  <si>
    <t xml:space="preserve">Desenvolvimento - Massa de Dados</t>
  </si>
  <si>
    <t xml:space="preserve">Oracle Designer 2000</t>
  </si>
  <si>
    <t xml:space="preserve">PENTAHO (Apenas OLAP)</t>
  </si>
  <si>
    <t xml:space="preserve">PENTAHO (Extração e OLAP)</t>
  </si>
  <si>
    <t xml:space="preserve">PENTAHO (Projetos Não BI)</t>
  </si>
  <si>
    <t xml:space="preserve">PHP</t>
  </si>
  <si>
    <t xml:space="preserve">PL/SQL de demais SGBDs</t>
  </si>
  <si>
    <t xml:space="preserve">Projeto de Automação de Testes</t>
  </si>
  <si>
    <t xml:space="preserve">Melhoria - Massa de Dados</t>
  </si>
  <si>
    <t xml:space="preserve">Plataforma de Desenvolvimento</t>
  </si>
  <si>
    <t xml:space="preserve">Retrabalho Desistência – Incluir Função - Fase Engenharia de Requisitos</t>
  </si>
  <si>
    <t xml:space="preserve">PROJETOS DE COMPONENTES</t>
  </si>
  <si>
    <t xml:space="preserve">Retrabalho Desistência – Incluir Função - Fase Design, Arquitetura</t>
  </si>
  <si>
    <t xml:space="preserve">PROJETOS DE DATAWAREHOUSING ( apenas OLAP) – OUTRAS (Microstrategy, Power Center ...)</t>
  </si>
  <si>
    <t xml:space="preserve">Retrabalho Desistência – Incluir Função - Fase Implementação</t>
  </si>
  <si>
    <t xml:space="preserve">PROJETOS DE DATAWAREHOUSING (Extração e OLAP) – OUTRAS (Microstrategy, Power Center, ,...)</t>
  </si>
  <si>
    <t xml:space="preserve">Retrabalho Desistência – Incluir Função - Fase Testes</t>
  </si>
  <si>
    <t xml:space="preserve">PROJETOS DE GEOPROCESSAMENTO</t>
  </si>
  <si>
    <t xml:space="preserve">Retrabalho Desistência – Incluir Função - Fase Homologação</t>
  </si>
  <si>
    <t xml:space="preserve">PROJETOS DE GEORREFERENCIAMENTO</t>
  </si>
  <si>
    <t xml:space="preserve">Manutenção Adaptativa em Requisitos Não Funcionais / Preventiva - Massa de Dados</t>
  </si>
  <si>
    <t xml:space="preserve">PROJETOS DE WORKFLOW</t>
  </si>
  <si>
    <t xml:space="preserve">Retrabalho Desistência – Alterar Função - Fase Engenharia de Requisitos</t>
  </si>
  <si>
    <t xml:space="preserve">PYTHON</t>
  </si>
  <si>
    <t xml:space="preserve">Retrabalho Desistência – Alterar Função - Fase Design, Arquitetura</t>
  </si>
  <si>
    <t xml:space="preserve">RUBY ON RAILS</t>
  </si>
  <si>
    <t xml:space="preserve">Retrabalho Desistência – Alterar Função - Fase Implementação</t>
  </si>
  <si>
    <t xml:space="preserve">UNIX SHELL SCRIPTS</t>
  </si>
  <si>
    <t xml:space="preserve">Retrabalho Desistência – Alterar Função - Fase Testes</t>
  </si>
  <si>
    <t xml:space="preserve">VB-SCRIPT</t>
  </si>
  <si>
    <t xml:space="preserve">Retrabalho Desistência – Alterar Função - Fase Homologação</t>
  </si>
  <si>
    <t xml:space="preserve">VISUAL BASIC /Crystal Reports</t>
  </si>
  <si>
    <t xml:space="preserve">Manutenção Corretiva - Massa de Dados</t>
  </si>
  <si>
    <t xml:space="preserve">VISUAL C++</t>
  </si>
  <si>
    <t xml:space="preserve">Retrabalho Desistência – Excluir Função - Fase Engenharia de Requisitos</t>
  </si>
  <si>
    <t xml:space="preserve">VISUAL GEN</t>
  </si>
  <si>
    <t xml:space="preserve">Retrabalho Desistência – Excluir Função - Fase Design, Arquitetura</t>
  </si>
  <si>
    <t xml:space="preserve">VISUAL INTERDEV</t>
  </si>
  <si>
    <t xml:space="preserve">Retrabalho Desistência – Excluir Função - Fase Implementação</t>
  </si>
  <si>
    <t xml:space="preserve">WEBSERVICE – Código aberto</t>
  </si>
  <si>
    <t xml:space="preserve">Retrabalho Desistência – Excluir Função - Fase Testes</t>
  </si>
  <si>
    <t xml:space="preserve">WEBSERVICE – Código proprietário</t>
  </si>
  <si>
    <t xml:space="preserve">Retrabalho Desistência – Excluir Função - Fase Homologação</t>
  </si>
  <si>
    <t xml:space="preserve">ZOPE PLONE</t>
  </si>
  <si>
    <t xml:space="preserve">Apuração Especial - Base de Dados – sem consulta - Massa de Dados</t>
  </si>
  <si>
    <t xml:space="preserve">DW – Filtro de Segurança - Incluída</t>
  </si>
  <si>
    <t xml:space="preserve">DW – Filtro de Relatório - Incluída</t>
  </si>
  <si>
    <t xml:space="preserve">DW – Dimensão Estática - Incluída</t>
  </si>
  <si>
    <t xml:space="preserve">DW – Reorganização Bancada - Incluída</t>
  </si>
  <si>
    <t xml:space="preserve">DW – Metadados - Incluída</t>
  </si>
  <si>
    <t xml:space="preserve">DW – Metadados Code Data - Incluída</t>
  </si>
  <si>
    <t xml:space="preserve">DW – Metadados - Alterada</t>
  </si>
  <si>
    <t xml:space="preserve">DW – Metadados Code Data - Alterada</t>
  </si>
  <si>
    <t xml:space="preserve">Desenvolvimento - Help</t>
  </si>
  <si>
    <t xml:space="preserve">Melhoria - Help</t>
  </si>
  <si>
    <t xml:space="preserve">Manutenção Adaptativa em Requisitos Não Funcionais / Preventiva - Help</t>
  </si>
  <si>
    <t xml:space="preserve">Manutenção Corretiva - Help</t>
  </si>
  <si>
    <t xml:space="preserve">Redesenvolvimento em outra plataforma – Linguagem de Programação - Massa de Dados</t>
  </si>
  <si>
    <t xml:space="preserve">Redesenvolvimento em outra plataforma – Banco de Dados Hierárquico - Massa de Dados</t>
  </si>
  <si>
    <t xml:space="preserve">Redesenvolvimento em outra plataforma – Banco de Dados Relacional  - Massa de Dados</t>
  </si>
  <si>
    <t xml:space="preserve">Projeto de Automação de Testes - Incluída</t>
  </si>
  <si>
    <t xml:space="preserve">Atualização de Plataforma – Sistema Operacional - Alterada</t>
  </si>
  <si>
    <t xml:space="preserve">Componente Interno Reusável - Excluída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</si>
</sst>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0%"/>
    <numFmt numFmtId="168" formatCode="0%"/>
    <numFmt numFmtId="169" formatCode="d/m/yyyy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1"/>
      <color rgb="FF0563C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A6A6A6"/>
      </patternFill>
    </fill>
    <fill>
      <patternFill patternType="solid">
        <fgColor rgb="FFA6A6A6"/>
        <bgColor rgb="FFBFBFBF"/>
      </patternFill>
    </fill>
    <fill>
      <patternFill patternType="solid">
        <fgColor rgb="FF595959"/>
        <bgColor rgb="FF333333"/>
      </patternFill>
    </fill>
    <fill>
      <patternFill patternType="solid">
        <fgColor rgb="FFD9D9D9"/>
        <bgColor rgb="FFBFBFBF"/>
      </patternFill>
    </fill>
    <fill>
      <patternFill patternType="solid">
        <fgColor rgb="FF92D050"/>
        <bgColor rgb="FFA6A6A6"/>
      </patternFill>
    </fill>
    <fill>
      <patternFill patternType="solid">
        <fgColor rgb="FFFFE699"/>
        <bgColor rgb="FFFFCC99"/>
      </patternFill>
    </fill>
    <fill>
      <patternFill patternType="solid">
        <fgColor rgb="FFFFFFFF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dashed"/>
      <right/>
      <top style="dashed"/>
      <bottom/>
      <diagonal/>
    </border>
    <border diagonalUp="false" diagonalDown="false">
      <left/>
      <right/>
      <top style="dashed"/>
      <bottom/>
      <diagonal/>
    </border>
    <border diagonalUp="false" diagonalDown="false">
      <left/>
      <right style="dashed"/>
      <top style="dashed"/>
      <bottom/>
      <diagonal/>
    </border>
    <border diagonalUp="false" diagonalDown="false">
      <left style="dashed"/>
      <right/>
      <top/>
      <bottom/>
      <diagonal/>
    </border>
    <border diagonalUp="false" diagonalDown="false">
      <left/>
      <right style="dashed"/>
      <top/>
      <bottom/>
      <diagonal/>
    </border>
    <border diagonalUp="false" diagonalDown="false">
      <left style="dashed"/>
      <right/>
      <top style="thin"/>
      <bottom/>
      <diagonal/>
    </border>
    <border diagonalUp="false" diagonalDown="false">
      <left style="dashed"/>
      <right style="thin"/>
      <top/>
      <bottom/>
      <diagonal/>
    </border>
    <border diagonalUp="false" diagonalDown="false">
      <left style="dashed"/>
      <right/>
      <top/>
      <bottom style="thin"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/>
      <right style="dashed"/>
      <top/>
      <bottom style="dashed"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n"/>
      <bottom style="thin"/>
      <diagonal/>
    </border>
    <border diagonalUp="false" diagonalDown="false">
      <left style="thick">
        <color rgb="FFFFFFFF"/>
      </left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7" borderId="8" xfId="2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corporativo.serpro/supde/SUPDE-EMPF/wikis/hom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2" min="1" style="1" width="13.57"/>
    <col collapsed="false" customWidth="true" hidden="false" outlineLevel="0" max="5" min="3" style="1" width="16.71"/>
    <col collapsed="false" customWidth="true" hidden="false" outlineLevel="0" max="6" min="6" style="1" width="30.7"/>
    <col collapsed="false" customWidth="false" hidden="false" outlineLevel="0" max="1024" min="7" style="1" width="9.14"/>
  </cols>
  <sheetData>
    <row r="1" customFormat="false" ht="15" hidden="false" customHeight="false" outlineLevel="0" collapsed="false">
      <c r="A1" s="2"/>
    </row>
    <row r="2" customFormat="false" ht="15" hidden="false" customHeight="false" outlineLevel="0" collapsed="false">
      <c r="A2" s="3" t="s">
        <v>0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/>
      <c r="B4" s="5" t="s">
        <v>1</v>
      </c>
      <c r="C4" s="6" t="s">
        <v>2</v>
      </c>
      <c r="D4" s="6"/>
      <c r="E4" s="6"/>
      <c r="F4" s="6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customFormat="false" ht="15" hidden="false" customHeight="false" outlineLevel="0" collapsed="false">
      <c r="A8" s="8" t="s">
        <v>10</v>
      </c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9" customFormat="false" ht="15" hidden="false" customHeight="false" outlineLevel="0" collapsed="false">
      <c r="A19" s="4" t="s">
        <v>11</v>
      </c>
    </row>
    <row r="20" customFormat="false" ht="15" hidden="false" customHeight="false" outlineLevel="0" collapsed="false">
      <c r="A20" s="7" t="s">
        <v>4</v>
      </c>
      <c r="B20" s="7" t="s">
        <v>5</v>
      </c>
      <c r="C20" s="7" t="s">
        <v>12</v>
      </c>
      <c r="D20" s="7"/>
      <c r="E20" s="7"/>
      <c r="F20" s="7"/>
    </row>
    <row r="21" customFormat="false" ht="15" hidden="false" customHeight="false" outlineLevel="0" collapsed="false">
      <c r="A21" s="8"/>
      <c r="B21" s="8"/>
      <c r="C21" s="6"/>
      <c r="D21" s="6"/>
      <c r="E21" s="6"/>
      <c r="F21" s="6"/>
    </row>
    <row r="22" customFormat="false" ht="15" hidden="false" customHeight="false" outlineLevel="0" collapsed="false">
      <c r="A22" s="8"/>
      <c r="B22" s="8"/>
      <c r="C22" s="6"/>
      <c r="D22" s="6"/>
      <c r="E22" s="6"/>
      <c r="F22" s="6"/>
    </row>
    <row r="23" customFormat="false" ht="15" hidden="false" customHeight="false" outlineLevel="0" collapsed="false">
      <c r="A23" s="8"/>
      <c r="B23" s="8"/>
      <c r="C23" s="6"/>
      <c r="D23" s="6"/>
      <c r="E23" s="6"/>
      <c r="F23" s="6"/>
    </row>
    <row r="24" customFormat="false" ht="15" hidden="false" customHeight="false" outlineLevel="0" collapsed="false">
      <c r="A24" s="8"/>
      <c r="B24" s="8"/>
      <c r="C24" s="6"/>
      <c r="D24" s="6"/>
      <c r="E24" s="6"/>
      <c r="F24" s="6"/>
    </row>
    <row r="25" customFormat="false" ht="15" hidden="false" customHeight="false" outlineLevel="0" collapsed="false">
      <c r="A25" s="8"/>
      <c r="B25" s="8"/>
      <c r="C25" s="6"/>
      <c r="D25" s="6"/>
      <c r="E25" s="6"/>
      <c r="F25" s="6"/>
    </row>
    <row r="26" customFormat="false" ht="15" hidden="false" customHeight="false" outlineLevel="0" collapsed="false">
      <c r="A26" s="8"/>
      <c r="B26" s="8"/>
      <c r="C26" s="6"/>
      <c r="D26" s="6"/>
      <c r="E26" s="6"/>
      <c r="F26" s="6"/>
    </row>
    <row r="27" customFormat="false" ht="15" hidden="false" customHeight="false" outlineLevel="0" collapsed="false">
      <c r="A27" s="8"/>
      <c r="B27" s="8"/>
      <c r="C27" s="6"/>
      <c r="D27" s="6"/>
      <c r="E27" s="6"/>
      <c r="F27" s="6"/>
    </row>
    <row r="28" customFormat="false" ht="15" hidden="false" customHeight="false" outlineLevel="0" collapsed="false">
      <c r="A28" s="8"/>
      <c r="B28" s="8"/>
      <c r="C28" s="6"/>
      <c r="D28" s="6"/>
      <c r="E28" s="6"/>
      <c r="F28" s="6"/>
    </row>
    <row r="29" customFormat="false" ht="15" hidden="false" customHeight="false" outlineLevel="0" collapsed="false">
      <c r="A29" s="8"/>
      <c r="B29" s="8"/>
      <c r="C29" s="6"/>
      <c r="D29" s="6"/>
      <c r="E29" s="6"/>
      <c r="F29" s="6"/>
    </row>
    <row r="30" customFormat="false" ht="15" hidden="false" customHeight="false" outlineLevel="0" collapsed="false">
      <c r="A30" s="8"/>
      <c r="B30" s="8"/>
      <c r="C30" s="6"/>
      <c r="D30" s="6"/>
      <c r="E30" s="6"/>
      <c r="F30" s="6"/>
    </row>
    <row r="32" customFormat="false" ht="15" hidden="false" customHeight="false" outlineLevel="0" collapsed="false">
      <c r="A32" s="4" t="s">
        <v>13</v>
      </c>
    </row>
    <row r="33" customFormat="false" ht="12.75" hidden="false" customHeight="tru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</sheetData>
  <mergeCells count="14">
    <mergeCell ref="A2:F2"/>
    <mergeCell ref="C4:F4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A33:F3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18.14"/>
    <col collapsed="false" customWidth="false" hidden="false" outlineLevel="0" max="3" min="3" style="1" width="9.14"/>
    <col collapsed="false" customWidth="true" hidden="false" outlineLevel="0" max="9" min="4" style="1" width="10.71"/>
    <col collapsed="false" customWidth="false" hidden="false" outlineLevel="0" max="1024" min="10" style="1" width="9.14"/>
  </cols>
  <sheetData>
    <row r="1" customFormat="false" ht="22.5" hidden="false" customHeight="true" outlineLevel="0" collapsed="false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</row>
    <row r="3" customFormat="false" ht="15" hidden="false" customHeight="false" outlineLevel="0" collapsed="false">
      <c r="A3" s="4" t="s">
        <v>14</v>
      </c>
      <c r="B3" s="11"/>
      <c r="C3" s="11"/>
      <c r="D3" s="12"/>
      <c r="E3" s="4" t="s">
        <v>15</v>
      </c>
      <c r="F3" s="13"/>
      <c r="G3" s="8" t="s">
        <v>16</v>
      </c>
      <c r="H3" s="8" t="n">
        <v>9999</v>
      </c>
      <c r="I3" s="6" t="s">
        <v>17</v>
      </c>
      <c r="J3" s="6"/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18</v>
      </c>
      <c r="B5" s="14" t="str">
        <f aca="false">Versão!C4</f>
        <v>&lt; Informar o nome da aplicação e Solicitação de Serviço a que se refere a contagem &gt;</v>
      </c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4" t="s">
        <v>19</v>
      </c>
      <c r="B7" s="6"/>
      <c r="C7" s="6"/>
      <c r="D7" s="6"/>
      <c r="E7" s="4" t="s">
        <v>20</v>
      </c>
      <c r="G7" s="15"/>
      <c r="H7" s="15"/>
      <c r="I7" s="15"/>
      <c r="J7" s="15"/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 t="s">
        <v>21</v>
      </c>
      <c r="B9" s="6"/>
      <c r="C9" s="6"/>
      <c r="D9" s="6"/>
      <c r="E9" s="4" t="s">
        <v>22</v>
      </c>
      <c r="G9" s="6"/>
      <c r="H9" s="6"/>
      <c r="I9" s="6"/>
      <c r="J9" s="6"/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 t="s">
        <v>23</v>
      </c>
      <c r="B11" s="6"/>
      <c r="C11" s="6"/>
      <c r="D11" s="6"/>
      <c r="E11" s="4" t="s">
        <v>24</v>
      </c>
      <c r="G11" s="6"/>
      <c r="H11" s="6"/>
      <c r="I11" s="6"/>
      <c r="J11" s="6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 t="s">
        <v>25</v>
      </c>
      <c r="B13" s="6"/>
      <c r="C13" s="6"/>
      <c r="D13" s="6"/>
      <c r="E13" s="4" t="s">
        <v>26</v>
      </c>
      <c r="G13" s="6"/>
      <c r="H13" s="6"/>
      <c r="I13" s="6"/>
      <c r="J13" s="6"/>
    </row>
    <row r="14" customFormat="false" ht="15" hidden="false" customHeight="false" outlineLevel="0" collapsed="false">
      <c r="A14" s="4"/>
    </row>
    <row r="15" customFormat="false" ht="12.75" hidden="false" customHeight="true" outlineLevel="0" collapsed="false">
      <c r="A15" s="16" t="s">
        <v>27</v>
      </c>
      <c r="B15" s="17" t="s">
        <v>28</v>
      </c>
      <c r="C15" s="17"/>
      <c r="D15" s="17"/>
      <c r="E15" s="17"/>
      <c r="F15" s="17"/>
      <c r="G15" s="17"/>
      <c r="H15" s="17"/>
      <c r="I15" s="17"/>
      <c r="J15" s="17"/>
    </row>
    <row r="16" customFormat="false" ht="15" hidden="false" customHeight="false" outlineLevel="0" collapsed="false">
      <c r="A16" s="16"/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16"/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15" hidden="false" customHeight="false" outlineLevel="0" collapsed="false">
      <c r="A18" s="16"/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/>
    </row>
    <row r="20" customFormat="false" ht="12.75" hidden="false" customHeight="true" outlineLevel="0" collapsed="false">
      <c r="A20" s="4" t="s">
        <v>29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/>
    </row>
    <row r="22" customFormat="false" ht="12.75" hidden="false" customHeight="true" outlineLevel="0" collapsed="false">
      <c r="A22" s="18" t="s">
        <v>30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18"/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15" hidden="false" customHeight="false" outlineLevel="0" collapsed="false">
      <c r="A24" s="18"/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18"/>
      <c r="B25" s="17"/>
      <c r="C25" s="17"/>
      <c r="D25" s="17"/>
      <c r="E25" s="17"/>
      <c r="F25" s="17"/>
      <c r="G25" s="17"/>
      <c r="H25" s="17"/>
      <c r="I25" s="17"/>
      <c r="J25" s="17"/>
    </row>
    <row r="26" customFormat="false" ht="15" hidden="false" customHeight="false" outlineLevel="0" collapsed="false">
      <c r="A26" s="4"/>
    </row>
    <row r="27" customFormat="false" ht="12.75" hidden="false" customHeight="true" outlineLevel="0" collapsed="false">
      <c r="A27" s="4" t="s">
        <v>31</v>
      </c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5" hidden="false" customHeight="false" outlineLevel="0" collapsed="false"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5" hidden="false" customHeight="false" outlineLevel="0" collapsed="false">
      <c r="B30" s="17"/>
      <c r="C30" s="17"/>
      <c r="D30" s="17"/>
      <c r="E30" s="17"/>
      <c r="F30" s="17"/>
      <c r="G30" s="17"/>
      <c r="H30" s="17"/>
      <c r="I30" s="17"/>
      <c r="J30" s="17"/>
    </row>
    <row r="33" customFormat="false" ht="15" hidden="false" customHeight="false" outlineLevel="0" collapsed="false">
      <c r="A33" s="19" t="s">
        <v>32</v>
      </c>
      <c r="B33" s="19"/>
      <c r="C33" s="19"/>
      <c r="D33" s="19"/>
      <c r="E33" s="19"/>
      <c r="F33" s="19"/>
      <c r="G33" s="19"/>
      <c r="H33" s="19"/>
      <c r="I33" s="19"/>
    </row>
    <row r="35" s="20" customFormat="true" ht="12" hidden="false" customHeight="false" outlineLevel="0" collapsed="false">
      <c r="D35" s="21" t="s">
        <v>33</v>
      </c>
      <c r="E35" s="21"/>
      <c r="F35" s="21"/>
      <c r="G35" s="21" t="s">
        <v>34</v>
      </c>
      <c r="H35" s="21"/>
      <c r="I35" s="21"/>
    </row>
    <row r="36" s="20" customFormat="true" ht="12" hidden="false" customHeight="false" outlineLevel="0" collapsed="false">
      <c r="D36" s="22" t="s">
        <v>35</v>
      </c>
      <c r="E36" s="22" t="s">
        <v>36</v>
      </c>
      <c r="F36" s="22" t="s">
        <v>37</v>
      </c>
      <c r="G36" s="22" t="s">
        <v>38</v>
      </c>
      <c r="H36" s="22" t="s">
        <v>36</v>
      </c>
      <c r="I36" s="22" t="s">
        <v>37</v>
      </c>
    </row>
    <row r="37" s="20" customFormat="true" ht="15" hidden="false" customHeight="true" outlineLevel="0" collapsed="false">
      <c r="A37" s="23" t="s">
        <v>39</v>
      </c>
      <c r="B37" s="24" t="s">
        <v>40</v>
      </c>
      <c r="C37" s="24"/>
      <c r="D37" s="25" t="n">
        <f aca="false">ALI!E43</f>
        <v>0</v>
      </c>
      <c r="E37" s="25" t="n">
        <f aca="false">ALI!E44</f>
        <v>0</v>
      </c>
      <c r="F37" s="25" t="n">
        <f aca="false">ALI!E45</f>
        <v>0</v>
      </c>
      <c r="G37" s="25" t="n">
        <f aca="false">ALI!I43</f>
        <v>0</v>
      </c>
      <c r="H37" s="26" t="n">
        <f aca="false">ALI!I44</f>
        <v>0</v>
      </c>
      <c r="I37" s="27" t="n">
        <f aca="false">ALI!I45</f>
        <v>0</v>
      </c>
    </row>
    <row r="38" s="20" customFormat="true" ht="15" hidden="false" customHeight="true" outlineLevel="0" collapsed="false">
      <c r="A38" s="23"/>
      <c r="B38" s="28" t="s">
        <v>41</v>
      </c>
      <c r="C38" s="28"/>
      <c r="D38" s="29" t="n">
        <f aca="false">ALI!E48</f>
        <v>0</v>
      </c>
      <c r="E38" s="29" t="n">
        <f aca="false">ALI!E49</f>
        <v>0</v>
      </c>
      <c r="F38" s="29" t="n">
        <f aca="false">ALI!E50</f>
        <v>0</v>
      </c>
      <c r="G38" s="29" t="n">
        <f aca="false">ALI!I48</f>
        <v>0</v>
      </c>
      <c r="H38" s="30" t="n">
        <f aca="false">ALI!I49</f>
        <v>0</v>
      </c>
      <c r="I38" s="31" t="n">
        <f aca="false">ALI!I50</f>
        <v>0</v>
      </c>
    </row>
    <row r="39" s="20" customFormat="true" ht="15" hidden="false" customHeight="true" outlineLevel="0" collapsed="false">
      <c r="A39" s="23"/>
      <c r="B39" s="32" t="s">
        <v>42</v>
      </c>
      <c r="C39" s="32"/>
      <c r="D39" s="33" t="n">
        <f aca="false">D37+D38</f>
        <v>0</v>
      </c>
      <c r="E39" s="33" t="n">
        <f aca="false">E37+E38</f>
        <v>0</v>
      </c>
      <c r="F39" s="33" t="n">
        <f aca="false">F37+F38</f>
        <v>0</v>
      </c>
      <c r="G39" s="33" t="n">
        <f aca="false">G37+G38</f>
        <v>0</v>
      </c>
      <c r="H39" s="34" t="n">
        <f aca="false">H37+H38</f>
        <v>0</v>
      </c>
      <c r="I39" s="35" t="n">
        <f aca="false">I37+I38</f>
        <v>0</v>
      </c>
    </row>
    <row r="40" s="20" customFormat="true" ht="15" hidden="false" customHeight="true" outlineLevel="0" collapsed="false">
      <c r="A40" s="23" t="s">
        <v>43</v>
      </c>
      <c r="B40" s="24" t="s">
        <v>40</v>
      </c>
      <c r="C40" s="24"/>
      <c r="D40" s="25" t="n">
        <f aca="false">AIE!E43</f>
        <v>0</v>
      </c>
      <c r="E40" s="25" t="n">
        <f aca="false">AIE!E44</f>
        <v>0</v>
      </c>
      <c r="F40" s="25" t="n">
        <f aca="false">AIE!E45</f>
        <v>0</v>
      </c>
      <c r="G40" s="25" t="n">
        <f aca="false">AIE!I43</f>
        <v>0</v>
      </c>
      <c r="H40" s="26" t="n">
        <f aca="false">AIE!I44</f>
        <v>0</v>
      </c>
      <c r="I40" s="27" t="n">
        <f aca="false">AIE!I45</f>
        <v>0</v>
      </c>
    </row>
    <row r="41" s="20" customFormat="true" ht="15" hidden="false" customHeight="true" outlineLevel="0" collapsed="false">
      <c r="A41" s="23"/>
      <c r="B41" s="28" t="s">
        <v>41</v>
      </c>
      <c r="C41" s="28"/>
      <c r="D41" s="29" t="n">
        <f aca="false">AIE!E48</f>
        <v>0</v>
      </c>
      <c r="E41" s="29" t="n">
        <f aca="false">AIE!E49</f>
        <v>0</v>
      </c>
      <c r="F41" s="29" t="n">
        <f aca="false">AIE!E50</f>
        <v>0</v>
      </c>
      <c r="G41" s="29" t="n">
        <f aca="false">AIE!I48</f>
        <v>0</v>
      </c>
      <c r="H41" s="30" t="n">
        <f aca="false">AIE!I49</f>
        <v>0</v>
      </c>
      <c r="I41" s="31" t="n">
        <f aca="false">AIE!I50</f>
        <v>0</v>
      </c>
    </row>
    <row r="42" s="20" customFormat="true" ht="15" hidden="false" customHeight="true" outlineLevel="0" collapsed="false">
      <c r="A42" s="23"/>
      <c r="B42" s="32" t="s">
        <v>44</v>
      </c>
      <c r="C42" s="32"/>
      <c r="D42" s="33" t="n">
        <f aca="false">D40+D41</f>
        <v>0</v>
      </c>
      <c r="E42" s="33" t="n">
        <f aca="false">E40+E41</f>
        <v>0</v>
      </c>
      <c r="F42" s="33" t="n">
        <f aca="false">F40+F41</f>
        <v>0</v>
      </c>
      <c r="G42" s="33" t="n">
        <f aca="false">G40+G41</f>
        <v>0</v>
      </c>
      <c r="H42" s="34" t="n">
        <f aca="false">H40+H41</f>
        <v>0</v>
      </c>
      <c r="I42" s="35" t="n">
        <f aca="false">I40+I41</f>
        <v>0</v>
      </c>
    </row>
    <row r="43" s="20" customFormat="true" ht="15" hidden="false" customHeight="true" outlineLevel="0" collapsed="false">
      <c r="A43" s="23" t="s">
        <v>45</v>
      </c>
      <c r="B43" s="24" t="s">
        <v>46</v>
      </c>
      <c r="C43" s="24"/>
      <c r="D43" s="25" t="n">
        <f aca="false">EE!E43</f>
        <v>0</v>
      </c>
      <c r="E43" s="25" t="n">
        <f aca="false">EE!E44</f>
        <v>0</v>
      </c>
      <c r="F43" s="25" t="n">
        <f aca="false">EE!E45</f>
        <v>0</v>
      </c>
      <c r="G43" s="25" t="n">
        <f aca="false">EE!I43</f>
        <v>0</v>
      </c>
      <c r="H43" s="26" t="n">
        <f aca="false">EE!I44</f>
        <v>0</v>
      </c>
      <c r="I43" s="27" t="n">
        <f aca="false">EE!I45</f>
        <v>0</v>
      </c>
    </row>
    <row r="44" s="20" customFormat="true" ht="15" hidden="false" customHeight="true" outlineLevel="0" collapsed="false">
      <c r="A44" s="23"/>
      <c r="B44" s="28" t="s">
        <v>41</v>
      </c>
      <c r="C44" s="28"/>
      <c r="D44" s="29" t="n">
        <f aca="false">EE!E48</f>
        <v>0</v>
      </c>
      <c r="E44" s="29" t="n">
        <f aca="false">EE!E49</f>
        <v>0</v>
      </c>
      <c r="F44" s="29" t="n">
        <f aca="false">EE!E50</f>
        <v>0</v>
      </c>
      <c r="G44" s="29" t="n">
        <f aca="false">EE!I48</f>
        <v>0</v>
      </c>
      <c r="H44" s="30" t="n">
        <f aca="false">EE!I49</f>
        <v>0</v>
      </c>
      <c r="I44" s="31" t="n">
        <f aca="false">EE!I50</f>
        <v>0</v>
      </c>
    </row>
    <row r="45" s="20" customFormat="true" ht="15" hidden="false" customHeight="true" outlineLevel="0" collapsed="false">
      <c r="A45" s="23"/>
      <c r="B45" s="32" t="s">
        <v>47</v>
      </c>
      <c r="C45" s="32"/>
      <c r="D45" s="33" t="n">
        <f aca="false">D43+D44</f>
        <v>0</v>
      </c>
      <c r="E45" s="33" t="n">
        <f aca="false">E43+E44</f>
        <v>0</v>
      </c>
      <c r="F45" s="33" t="n">
        <f aca="false">F43+F44</f>
        <v>0</v>
      </c>
      <c r="G45" s="33" t="n">
        <f aca="false">G43+G44</f>
        <v>0</v>
      </c>
      <c r="H45" s="34" t="n">
        <f aca="false">H43+H44</f>
        <v>0</v>
      </c>
      <c r="I45" s="35" t="n">
        <f aca="false">I43+I44</f>
        <v>0</v>
      </c>
    </row>
    <row r="46" s="20" customFormat="true" ht="15" hidden="false" customHeight="true" outlineLevel="0" collapsed="false">
      <c r="A46" s="23" t="s">
        <v>48</v>
      </c>
      <c r="B46" s="24" t="s">
        <v>46</v>
      </c>
      <c r="C46" s="24"/>
      <c r="D46" s="25" t="n">
        <f aca="false">SE!E43</f>
        <v>0</v>
      </c>
      <c r="E46" s="25" t="n">
        <f aca="false">SE!E44</f>
        <v>0</v>
      </c>
      <c r="F46" s="25" t="n">
        <f aca="false">SE!E45</f>
        <v>0</v>
      </c>
      <c r="G46" s="25" t="n">
        <f aca="false">SE!I43</f>
        <v>0</v>
      </c>
      <c r="H46" s="26" t="n">
        <f aca="false">SE!I44</f>
        <v>0</v>
      </c>
      <c r="I46" s="27" t="n">
        <f aca="false">SE!I45</f>
        <v>0</v>
      </c>
    </row>
    <row r="47" s="20" customFormat="true" ht="15" hidden="false" customHeight="true" outlineLevel="0" collapsed="false">
      <c r="A47" s="23"/>
      <c r="B47" s="28" t="s">
        <v>41</v>
      </c>
      <c r="C47" s="28"/>
      <c r="D47" s="29" t="n">
        <f aca="false">SE!E48</f>
        <v>0</v>
      </c>
      <c r="E47" s="29" t="n">
        <f aca="false">SE!E49</f>
        <v>0</v>
      </c>
      <c r="F47" s="29" t="n">
        <f aca="false">SE!E50</f>
        <v>0</v>
      </c>
      <c r="G47" s="29" t="n">
        <f aca="false">SE!I48</f>
        <v>0</v>
      </c>
      <c r="H47" s="30" t="n">
        <f aca="false">SE!I49</f>
        <v>0</v>
      </c>
      <c r="I47" s="31" t="n">
        <f aca="false">SE!I50</f>
        <v>0</v>
      </c>
    </row>
    <row r="48" s="20" customFormat="true" ht="15" hidden="false" customHeight="true" outlineLevel="0" collapsed="false">
      <c r="A48" s="23"/>
      <c r="B48" s="32" t="s">
        <v>49</v>
      </c>
      <c r="C48" s="32"/>
      <c r="D48" s="33" t="n">
        <f aca="false">D46+D47</f>
        <v>0</v>
      </c>
      <c r="E48" s="33" t="n">
        <f aca="false">E46+E47</f>
        <v>0</v>
      </c>
      <c r="F48" s="33" t="n">
        <f aca="false">F46+F47</f>
        <v>0</v>
      </c>
      <c r="G48" s="33" t="n">
        <f aca="false">G46+G47</f>
        <v>0</v>
      </c>
      <c r="H48" s="34" t="n">
        <f aca="false">H46+H47</f>
        <v>0</v>
      </c>
      <c r="I48" s="35" t="n">
        <f aca="false">I46+I47</f>
        <v>0</v>
      </c>
    </row>
    <row r="49" s="20" customFormat="true" ht="15" hidden="false" customHeight="true" outlineLevel="0" collapsed="false">
      <c r="A49" s="36" t="s">
        <v>50</v>
      </c>
      <c r="B49" s="24" t="s">
        <v>46</v>
      </c>
      <c r="C49" s="24"/>
      <c r="D49" s="25" t="n">
        <f aca="false">CE!E43</f>
        <v>0</v>
      </c>
      <c r="E49" s="25" t="n">
        <f aca="false">CE!E44</f>
        <v>0</v>
      </c>
      <c r="F49" s="25" t="n">
        <f aca="false">CE!E45</f>
        <v>0</v>
      </c>
      <c r="G49" s="25" t="n">
        <f aca="false">CE!I43</f>
        <v>0</v>
      </c>
      <c r="H49" s="26" t="n">
        <f aca="false">CE!I44</f>
        <v>0</v>
      </c>
      <c r="I49" s="27" t="n">
        <f aca="false">CE!I45</f>
        <v>0</v>
      </c>
    </row>
    <row r="50" s="20" customFormat="true" ht="15" hidden="false" customHeight="true" outlineLevel="0" collapsed="false">
      <c r="A50" s="36"/>
      <c r="B50" s="28" t="s">
        <v>41</v>
      </c>
      <c r="C50" s="28"/>
      <c r="D50" s="29" t="n">
        <f aca="false">CE!E48</f>
        <v>0</v>
      </c>
      <c r="E50" s="29" t="n">
        <f aca="false">CE!E49</f>
        <v>0</v>
      </c>
      <c r="F50" s="29" t="n">
        <f aca="false">CE!E50</f>
        <v>0</v>
      </c>
      <c r="G50" s="29" t="n">
        <f aca="false">CE!I48</f>
        <v>0</v>
      </c>
      <c r="H50" s="30" t="n">
        <f aca="false">CE!I49</f>
        <v>0</v>
      </c>
      <c r="I50" s="31" t="n">
        <f aca="false">CE!I50</f>
        <v>0</v>
      </c>
    </row>
    <row r="51" s="20" customFormat="true" ht="15" hidden="false" customHeight="true" outlineLevel="0" collapsed="false">
      <c r="A51" s="36"/>
      <c r="B51" s="32" t="s">
        <v>51</v>
      </c>
      <c r="C51" s="32"/>
      <c r="D51" s="37" t="n">
        <f aca="false">D49+D50</f>
        <v>0</v>
      </c>
      <c r="E51" s="37" t="n">
        <f aca="false">E49+E50</f>
        <v>0</v>
      </c>
      <c r="F51" s="37" t="n">
        <f aca="false">F49+F50</f>
        <v>0</v>
      </c>
      <c r="G51" s="37" t="n">
        <f aca="false">G49+G50</f>
        <v>0</v>
      </c>
      <c r="H51" s="38" t="n">
        <f aca="false">H49+H50</f>
        <v>0</v>
      </c>
      <c r="I51" s="39" t="n">
        <f aca="false">I49+I50</f>
        <v>0</v>
      </c>
    </row>
    <row r="53" s="43" customFormat="true" ht="14.25" hidden="false" customHeight="true" outlineLevel="0" collapsed="false">
      <c r="A53" s="40"/>
      <c r="B53" s="41"/>
      <c r="C53" s="41"/>
      <c r="D53" s="41"/>
      <c r="E53" s="41"/>
      <c r="F53" s="41"/>
      <c r="G53" s="41"/>
      <c r="H53" s="41" t="s">
        <v>52</v>
      </c>
      <c r="I53" s="42" t="n">
        <f aca="false">SUM(G37:I37,G40:I40)</f>
        <v>0</v>
      </c>
    </row>
    <row r="54" s="43" customFormat="true" ht="14.25" hidden="false" customHeight="true" outlineLevel="0" collapsed="false">
      <c r="A54" s="44"/>
      <c r="B54" s="45"/>
      <c r="C54" s="45"/>
      <c r="D54" s="45"/>
      <c r="E54" s="45"/>
      <c r="F54" s="45"/>
      <c r="G54" s="45"/>
      <c r="H54" s="45" t="s">
        <v>53</v>
      </c>
      <c r="I54" s="46" t="n">
        <f aca="false">SUM(G38:I38,G41:I41,G44:I44,G47:I47,G50:I50)</f>
        <v>0</v>
      </c>
    </row>
    <row r="55" s="43" customFormat="true" ht="14.25" hidden="false" customHeight="true" outlineLevel="0" collapsed="false">
      <c r="A55" s="44"/>
      <c r="B55" s="45"/>
      <c r="C55" s="45"/>
      <c r="D55" s="45"/>
      <c r="E55" s="45"/>
      <c r="F55" s="45"/>
      <c r="G55" s="45"/>
      <c r="H55" s="45" t="s">
        <v>54</v>
      </c>
      <c r="I55" s="46" t="n">
        <f aca="false">SUM(G43:I43,G46:I46,G49:I49)</f>
        <v>0</v>
      </c>
    </row>
    <row r="56" s="43" customFormat="true" ht="14.25" hidden="false" customHeight="true" outlineLevel="0" collapsed="false">
      <c r="A56" s="47"/>
      <c r="B56" s="48"/>
      <c r="C56" s="48"/>
      <c r="D56" s="48"/>
      <c r="E56" s="48"/>
      <c r="F56" s="48"/>
      <c r="G56" s="48"/>
      <c r="H56" s="48" t="s">
        <v>55</v>
      </c>
      <c r="I56" s="49" t="n">
        <f aca="false">I53+I54+I55</f>
        <v>0</v>
      </c>
    </row>
    <row r="58" customFormat="false" ht="15" hidden="true" customHeight="false" outlineLevel="0" collapsed="false">
      <c r="A58" s="1" t="s">
        <v>56</v>
      </c>
      <c r="B58" s="1" t="s">
        <v>57</v>
      </c>
    </row>
    <row r="59" customFormat="false" ht="15" hidden="false" customHeight="false" outlineLevel="0" collapsed="false">
      <c r="A59" s="50"/>
      <c r="B59" s="51"/>
      <c r="C59" s="51"/>
      <c r="D59" s="51"/>
      <c r="E59" s="51"/>
      <c r="F59" s="51"/>
      <c r="G59" s="51"/>
      <c r="H59" s="52"/>
    </row>
    <row r="60" customFormat="false" ht="15" hidden="false" customHeight="false" outlineLevel="0" collapsed="false">
      <c r="A60" s="53" t="s">
        <v>58</v>
      </c>
      <c r="B60" s="13"/>
      <c r="C60" s="8" t="s">
        <v>57</v>
      </c>
      <c r="D60" s="13"/>
      <c r="E60" s="54" t="s">
        <v>59</v>
      </c>
      <c r="F60" s="55" t="n">
        <f aca="false">IF(C60="Sim",0.35,0)</f>
        <v>0</v>
      </c>
      <c r="G60" s="13"/>
      <c r="H60" s="56" t="n">
        <f aca="false">IF(C60="Sim",($I$56-$I$54)*F60,0)</f>
        <v>0</v>
      </c>
    </row>
    <row r="61" customFormat="false" ht="6" hidden="false" customHeight="true" outlineLevel="0" collapsed="false">
      <c r="A61" s="53"/>
      <c r="B61" s="13"/>
      <c r="C61" s="13"/>
      <c r="D61" s="13"/>
      <c r="E61" s="54"/>
      <c r="F61" s="13"/>
      <c r="G61" s="13"/>
      <c r="H61" s="56"/>
    </row>
    <row r="62" customFormat="false" ht="15" hidden="false" customHeight="false" outlineLevel="0" collapsed="false">
      <c r="A62" s="57" t="s">
        <v>60</v>
      </c>
      <c r="B62" s="13"/>
      <c r="C62" s="8" t="s">
        <v>57</v>
      </c>
      <c r="D62" s="13"/>
      <c r="E62" s="54" t="s">
        <v>59</v>
      </c>
      <c r="F62" s="58" t="n">
        <v>0.05</v>
      </c>
      <c r="G62" s="13"/>
      <c r="H62" s="56" t="n">
        <f aca="false">IF(C62="Não",0,(EE!AF40+SE!AF40+CE!AF40-EE!K59-CE!K59-SE!K59)*F62)</f>
        <v>0</v>
      </c>
    </row>
    <row r="63" customFormat="false" ht="6" hidden="false" customHeight="true" outlineLevel="0" collapsed="false">
      <c r="A63" s="57"/>
      <c r="B63" s="13"/>
      <c r="C63" s="13"/>
      <c r="D63" s="13"/>
      <c r="E63" s="54"/>
      <c r="F63" s="13"/>
      <c r="G63" s="13"/>
      <c r="H63" s="56"/>
    </row>
    <row r="64" customFormat="false" ht="15" hidden="false" customHeight="false" outlineLevel="0" collapsed="false">
      <c r="A64" s="57" t="s">
        <v>61</v>
      </c>
      <c r="B64" s="13"/>
      <c r="C64" s="8" t="s">
        <v>57</v>
      </c>
      <c r="D64" s="13"/>
      <c r="E64" s="54" t="s">
        <v>59</v>
      </c>
      <c r="F64" s="58" t="n">
        <v>0.02</v>
      </c>
      <c r="G64" s="13"/>
      <c r="H64" s="56" t="n">
        <f aca="false">IF(C64="Sim",(I56-I54-EE!K60-EE!K61-SE!K60-CE!K60)*F64,0)</f>
        <v>0</v>
      </c>
    </row>
    <row r="65" customFormat="false" ht="6" hidden="false" customHeight="true" outlineLevel="0" collapsed="false">
      <c r="A65" s="57"/>
      <c r="B65" s="13"/>
      <c r="C65" s="13"/>
      <c r="D65" s="13"/>
      <c r="E65" s="54"/>
      <c r="F65" s="13"/>
      <c r="G65" s="13"/>
      <c r="H65" s="56"/>
    </row>
    <row r="66" customFormat="false" ht="15" hidden="false" customHeight="false" outlineLevel="0" collapsed="false">
      <c r="A66" s="57" t="s">
        <v>62</v>
      </c>
      <c r="B66" s="13"/>
      <c r="C66" s="8" t="s">
        <v>57</v>
      </c>
      <c r="D66" s="13"/>
      <c r="E66" s="54" t="s">
        <v>59</v>
      </c>
      <c r="F66" s="58" t="n">
        <v>0.25</v>
      </c>
      <c r="G66" s="13"/>
      <c r="H66" s="56" t="n">
        <f aca="false">IF(C66="Sim",(EE!AF40+SE!AF40+CE!AF40-EE!K59-CE!K59-SE!K59)*F66,0)</f>
        <v>0</v>
      </c>
    </row>
    <row r="67" customFormat="false" ht="6" hidden="false" customHeight="true" outlineLevel="0" collapsed="false">
      <c r="A67" s="57"/>
      <c r="B67" s="13"/>
      <c r="C67" s="13"/>
      <c r="D67" s="13"/>
      <c r="E67" s="54"/>
      <c r="F67" s="13"/>
      <c r="G67" s="13"/>
      <c r="H67" s="56"/>
    </row>
    <row r="68" customFormat="false" ht="15" hidden="false" customHeight="false" outlineLevel="0" collapsed="false">
      <c r="A68" s="57" t="s">
        <v>63</v>
      </c>
      <c r="B68" s="13"/>
      <c r="C68" s="8" t="s">
        <v>57</v>
      </c>
      <c r="D68" s="13"/>
      <c r="E68" s="54" t="s">
        <v>59</v>
      </c>
      <c r="F68" s="58" t="n">
        <v>0.02</v>
      </c>
      <c r="G68" s="13"/>
      <c r="H68" s="56" t="n">
        <f aca="false">IF(C68="Sim",(G45+H45+I45+G48+H48+I48+G51+H51+I51-EE!K60-EE!K61-CE!K60-SE!K60)*F68,0)</f>
        <v>0</v>
      </c>
    </row>
    <row r="69" customFormat="false" ht="6" hidden="false" customHeight="true" outlineLevel="0" collapsed="false">
      <c r="A69" s="53"/>
      <c r="B69" s="13"/>
      <c r="C69" s="13"/>
      <c r="D69" s="13"/>
      <c r="E69" s="54"/>
      <c r="F69" s="13"/>
      <c r="G69" s="13"/>
      <c r="H69" s="56"/>
    </row>
    <row r="70" customFormat="false" ht="15" hidden="false" customHeight="false" outlineLevel="0" collapsed="false">
      <c r="A70" s="53" t="s">
        <v>64</v>
      </c>
      <c r="B70" s="13"/>
      <c r="C70" s="8" t="s">
        <v>57</v>
      </c>
      <c r="D70" s="13"/>
      <c r="E70" s="54" t="s">
        <v>59</v>
      </c>
      <c r="F70" s="59" t="n">
        <f aca="false">IF(AND(I56&lt;100,C70="Sim"),0.35,0)</f>
        <v>0</v>
      </c>
      <c r="G70" s="13"/>
      <c r="H70" s="56" t="n">
        <f aca="false">IF(C70="Sim",(I56+H60+H62+H64+H66+H68)*F70,0)</f>
        <v>0</v>
      </c>
    </row>
    <row r="71" customFormat="false" ht="6.75" hidden="false" customHeight="true" outlineLevel="0" collapsed="false">
      <c r="A71" s="53"/>
      <c r="B71" s="13"/>
      <c r="C71" s="13"/>
      <c r="D71" s="13"/>
      <c r="E71" s="54"/>
      <c r="F71" s="13"/>
      <c r="G71" s="13"/>
      <c r="H71" s="56"/>
    </row>
    <row r="72" customFormat="false" ht="15" hidden="false" customHeight="false" outlineLevel="0" collapsed="false">
      <c r="A72" s="60" t="s">
        <v>65</v>
      </c>
      <c r="B72" s="60"/>
      <c r="C72" s="8" t="s">
        <v>57</v>
      </c>
      <c r="D72" s="13"/>
      <c r="E72" s="54" t="s">
        <v>59</v>
      </c>
      <c r="F72" s="59" t="n">
        <f aca="false">IF(OR(C72="Não",I56&lt;100),0,VLOOKUP(C72,A135:B138,2,0))</f>
        <v>0</v>
      </c>
      <c r="G72" s="61" t="str">
        <f aca="false">IF(AND(C72&lt;&gt;"Não",I56&lt;100),"Só &gt;100 PF","")</f>
        <v/>
      </c>
      <c r="H72" s="56" t="n">
        <f aca="false">IF(OR(C72="Não",I56&lt;100),0,(I56+H60+H62+H64+H66+H68)*F72)</f>
        <v>0</v>
      </c>
    </row>
    <row r="73" customFormat="false" ht="6" hidden="false" customHeight="true" outlineLevel="0" collapsed="false">
      <c r="A73" s="53"/>
      <c r="B73" s="13"/>
      <c r="C73" s="13"/>
      <c r="D73" s="13"/>
      <c r="E73" s="54"/>
      <c r="F73" s="13"/>
      <c r="G73" s="13"/>
      <c r="H73" s="56" t="n">
        <f aca="false">(I56+H60+H62+H64+H66+H68+H70+H72)</f>
        <v>0</v>
      </c>
    </row>
    <row r="74" customFormat="false" ht="15" hidden="false" customHeight="false" outlineLevel="0" collapsed="false">
      <c r="A74" s="53" t="s">
        <v>66</v>
      </c>
      <c r="B74" s="13"/>
      <c r="C74" s="8" t="s">
        <v>57</v>
      </c>
      <c r="D74" s="13"/>
      <c r="E74" s="54" t="s">
        <v>67</v>
      </c>
      <c r="F74" s="62" t="s">
        <v>68</v>
      </c>
      <c r="G74" s="62"/>
      <c r="H74" s="56" t="n">
        <f aca="false">IF(C74="Sim",H73*VLOOKUP(F74,A140:C146,3,0),0)</f>
        <v>0</v>
      </c>
    </row>
    <row r="75" customFormat="false" ht="6" hidden="false" customHeight="true" outlineLevel="0" collapsed="false">
      <c r="A75" s="63"/>
      <c r="B75" s="64"/>
      <c r="C75" s="64"/>
      <c r="D75" s="64"/>
      <c r="E75" s="64"/>
      <c r="F75" s="64"/>
      <c r="G75" s="64"/>
      <c r="H75" s="65"/>
    </row>
    <row r="76" s="68" customFormat="true" ht="20.25" hidden="false" customHeight="true" outlineLevel="0" collapsed="false">
      <c r="A76" s="66" t="s">
        <v>34</v>
      </c>
      <c r="B76" s="66"/>
      <c r="C76" s="66"/>
      <c r="D76" s="66"/>
      <c r="E76" s="66"/>
      <c r="F76" s="66"/>
      <c r="G76" s="66"/>
      <c r="H76" s="67" t="n">
        <f aca="false">IF(C74="Não",H73,H74)</f>
        <v>0</v>
      </c>
    </row>
    <row r="77" customFormat="false" ht="12.75" hidden="false" customHeight="true" outlineLevel="0" collapsed="false">
      <c r="A77" s="69" t="s">
        <v>69</v>
      </c>
      <c r="B77" s="69"/>
      <c r="C77" s="69"/>
      <c r="D77" s="69"/>
      <c r="E77" s="69"/>
      <c r="F77" s="69"/>
      <c r="G77" s="69"/>
      <c r="H77" s="69"/>
      <c r="I77" s="43"/>
    </row>
    <row r="78" customFormat="false" ht="15" hidden="false" customHeight="false" outlineLevel="0" collapsed="false">
      <c r="A78" s="70" t="s">
        <v>70</v>
      </c>
      <c r="B78" s="71"/>
      <c r="C78" s="71"/>
      <c r="D78" s="71"/>
      <c r="E78" s="71"/>
      <c r="F78" s="71"/>
      <c r="G78" s="71"/>
      <c r="H78" s="72"/>
      <c r="I78" s="43"/>
    </row>
    <row r="79" customFormat="false" ht="15" hidden="false" customHeight="true" outlineLevel="0" collapsed="false">
      <c r="A79" s="73" t="s">
        <v>71</v>
      </c>
      <c r="B79" s="73"/>
      <c r="C79" s="73"/>
      <c r="D79" s="73"/>
      <c r="E79" s="73"/>
      <c r="F79" s="73"/>
      <c r="G79" s="73"/>
      <c r="H79" s="73"/>
      <c r="I79" s="43"/>
    </row>
    <row r="80" customFormat="false" ht="15" hidden="false" customHeight="false" outlineLevel="0" collapsed="false">
      <c r="A80" s="74"/>
      <c r="B80" s="75"/>
      <c r="C80" s="75"/>
      <c r="D80" s="75"/>
      <c r="E80" s="75"/>
      <c r="F80" s="75"/>
      <c r="G80" s="75"/>
      <c r="H80" s="76"/>
      <c r="I80" s="43"/>
    </row>
    <row r="81" customFormat="false" ht="15" hidden="false" customHeight="true" outlineLevel="0" collapsed="false">
      <c r="A81" s="77" t="s">
        <v>72</v>
      </c>
      <c r="B81" s="77"/>
      <c r="C81" s="77"/>
      <c r="D81" s="77"/>
      <c r="E81" s="77"/>
      <c r="F81" s="77"/>
      <c r="G81" s="77"/>
      <c r="H81" s="77"/>
      <c r="I81" s="43"/>
    </row>
    <row r="82" customFormat="false" ht="26.25" hidden="false" customHeight="true" outlineLevel="0" collapsed="false">
      <c r="A82" s="78"/>
      <c r="B82" s="79" t="s">
        <v>73</v>
      </c>
      <c r="D82" s="80" t="s">
        <v>74</v>
      </c>
      <c r="E82" s="80"/>
      <c r="G82" s="81" t="s">
        <v>75</v>
      </c>
      <c r="H82" s="81"/>
      <c r="I82" s="43"/>
    </row>
    <row r="83" customFormat="false" ht="15" hidden="false" customHeight="false" outlineLevel="0" collapsed="false">
      <c r="A83" s="78"/>
      <c r="B83" s="79" t="s">
        <v>76</v>
      </c>
      <c r="D83" s="82" t="s">
        <v>77</v>
      </c>
      <c r="G83" s="82" t="s">
        <v>78</v>
      </c>
      <c r="H83" s="83"/>
      <c r="I83" s="43"/>
    </row>
    <row r="84" customFormat="false" ht="15" hidden="false" customHeight="false" outlineLevel="0" collapsed="false">
      <c r="A84" s="78"/>
      <c r="B84" s="79" t="s">
        <v>79</v>
      </c>
      <c r="D84" s="82" t="s">
        <v>80</v>
      </c>
      <c r="G84" s="82" t="s">
        <v>81</v>
      </c>
      <c r="H84" s="83"/>
      <c r="I84" s="43"/>
    </row>
    <row r="85" customFormat="false" ht="15" hidden="false" customHeight="false" outlineLevel="0" collapsed="false">
      <c r="A85" s="78"/>
      <c r="B85" s="79" t="s">
        <v>82</v>
      </c>
      <c r="D85" s="82" t="s">
        <v>83</v>
      </c>
      <c r="G85" s="82" t="s">
        <v>84</v>
      </c>
      <c r="H85" s="83"/>
      <c r="I85" s="43"/>
    </row>
    <row r="86" customFormat="false" ht="15" hidden="false" customHeight="false" outlineLevel="0" collapsed="false">
      <c r="A86" s="78"/>
      <c r="B86" s="79" t="s">
        <v>85</v>
      </c>
      <c r="D86" s="82" t="s">
        <v>86</v>
      </c>
      <c r="G86" s="82" t="s">
        <v>87</v>
      </c>
      <c r="H86" s="83"/>
      <c r="I86" s="43"/>
    </row>
    <row r="87" customFormat="false" ht="15" hidden="false" customHeight="false" outlineLevel="0" collapsed="false">
      <c r="A87" s="78"/>
      <c r="B87" s="79" t="s">
        <v>88</v>
      </c>
      <c r="D87" s="82" t="s">
        <v>84</v>
      </c>
      <c r="G87" s="82" t="s">
        <v>89</v>
      </c>
      <c r="H87" s="83"/>
      <c r="I87" s="43"/>
    </row>
    <row r="88" customFormat="false" ht="15" hidden="false" customHeight="false" outlineLevel="0" collapsed="false">
      <c r="A88" s="78"/>
      <c r="B88" s="79" t="s">
        <v>90</v>
      </c>
      <c r="D88" s="82" t="s">
        <v>91</v>
      </c>
      <c r="G88" s="82" t="s">
        <v>92</v>
      </c>
      <c r="H88" s="83"/>
      <c r="I88" s="43"/>
    </row>
    <row r="89" customFormat="false" ht="15" hidden="false" customHeight="false" outlineLevel="0" collapsed="false">
      <c r="A89" s="78"/>
      <c r="B89" s="79" t="s">
        <v>93</v>
      </c>
      <c r="D89" s="82" t="s">
        <v>94</v>
      </c>
      <c r="G89" s="82" t="s">
        <v>95</v>
      </c>
      <c r="H89" s="83"/>
      <c r="I89" s="43"/>
    </row>
    <row r="90" customFormat="false" ht="15" hidden="false" customHeight="false" outlineLevel="0" collapsed="false">
      <c r="A90" s="78"/>
      <c r="B90" s="79" t="s">
        <v>96</v>
      </c>
      <c r="D90" s="82" t="s">
        <v>97</v>
      </c>
      <c r="G90" s="82" t="s">
        <v>98</v>
      </c>
      <c r="H90" s="83"/>
      <c r="I90" s="43"/>
    </row>
    <row r="91" customFormat="false" ht="15" hidden="false" customHeight="false" outlineLevel="0" collapsed="false">
      <c r="A91" s="78"/>
      <c r="B91" s="79" t="s">
        <v>99</v>
      </c>
      <c r="D91" s="82" t="s">
        <v>100</v>
      </c>
      <c r="G91" s="82" t="s">
        <v>98</v>
      </c>
      <c r="H91" s="83"/>
      <c r="I91" s="43"/>
    </row>
    <row r="92" customFormat="false" ht="15" hidden="false" customHeight="false" outlineLevel="0" collapsed="false">
      <c r="A92" s="84"/>
      <c r="B92" s="79"/>
      <c r="C92" s="79"/>
      <c r="D92" s="79"/>
      <c r="E92" s="79"/>
      <c r="F92" s="79"/>
      <c r="G92" s="79"/>
      <c r="H92" s="81"/>
      <c r="I92" s="43"/>
    </row>
    <row r="93" customFormat="false" ht="15" hidden="false" customHeight="true" outlineLevel="0" collapsed="false">
      <c r="A93" s="77" t="s">
        <v>101</v>
      </c>
      <c r="B93" s="77"/>
      <c r="C93" s="77"/>
      <c r="D93" s="77"/>
      <c r="E93" s="77"/>
      <c r="F93" s="77"/>
      <c r="G93" s="77"/>
      <c r="H93" s="77"/>
      <c r="I93" s="43"/>
    </row>
    <row r="94" customFormat="false" ht="15" hidden="false" customHeight="true" outlineLevel="0" collapsed="false">
      <c r="A94" s="84"/>
      <c r="B94" s="81" t="s">
        <v>102</v>
      </c>
      <c r="C94" s="81"/>
      <c r="D94" s="81"/>
      <c r="E94" s="81"/>
      <c r="F94" s="81"/>
      <c r="G94" s="81"/>
      <c r="H94" s="81"/>
      <c r="I94" s="43"/>
    </row>
    <row r="95" customFormat="false" ht="15" hidden="false" customHeight="true" outlineLevel="0" collapsed="false">
      <c r="A95" s="84"/>
      <c r="B95" s="81" t="s">
        <v>103</v>
      </c>
      <c r="C95" s="81"/>
      <c r="D95" s="81"/>
      <c r="E95" s="81"/>
      <c r="F95" s="81"/>
      <c r="G95" s="81"/>
      <c r="H95" s="81"/>
      <c r="I95" s="43"/>
    </row>
    <row r="96" customFormat="false" ht="15" hidden="false" customHeight="false" outlineLevel="0" collapsed="false">
      <c r="A96" s="85"/>
      <c r="B96" s="86" t="s">
        <v>104</v>
      </c>
      <c r="C96" s="86"/>
      <c r="D96" s="86"/>
      <c r="E96" s="86"/>
      <c r="F96" s="86"/>
      <c r="G96" s="86"/>
      <c r="H96" s="86"/>
      <c r="I96" s="43"/>
    </row>
    <row r="97" customFormat="false" ht="15" hidden="false" customHeight="false" outlineLevel="0" collapsed="false">
      <c r="A97" s="43"/>
      <c r="B97" s="43"/>
      <c r="C97" s="43"/>
      <c r="D97" s="43"/>
      <c r="E97" s="43"/>
      <c r="F97" s="43"/>
      <c r="G97" s="43"/>
      <c r="H97" s="43"/>
      <c r="I97" s="43"/>
    </row>
    <row r="98" customFormat="false" ht="15" hidden="false" customHeight="false" outlineLevel="0" collapsed="false">
      <c r="A98" s="87"/>
      <c r="B98" s="88"/>
      <c r="C98" s="88"/>
      <c r="D98" s="88"/>
      <c r="E98" s="88"/>
      <c r="F98" s="88"/>
      <c r="G98" s="88"/>
      <c r="H98" s="88"/>
      <c r="I98" s="88"/>
      <c r="J98" s="89"/>
      <c r="K98" s="89"/>
      <c r="L98" s="89"/>
      <c r="M98" s="90"/>
    </row>
    <row r="99" customFormat="false" ht="15" hidden="false" customHeight="false" outlineLevel="0" collapsed="false">
      <c r="A99" s="91" t="s">
        <v>105</v>
      </c>
      <c r="B99" s="92"/>
      <c r="C99" s="92"/>
      <c r="D99" s="92"/>
      <c r="E99" s="92"/>
      <c r="F99" s="92"/>
      <c r="G99" s="92"/>
      <c r="H99" s="92"/>
      <c r="I99" s="92"/>
      <c r="J99" s="13"/>
      <c r="K99" s="13"/>
      <c r="L99" s="13"/>
      <c r="M99" s="93"/>
    </row>
    <row r="100" customFormat="false" ht="15" hidden="false" customHeight="false" outlineLevel="0" collapsed="false">
      <c r="A100" s="94"/>
      <c r="B100" s="95"/>
      <c r="C100" s="95"/>
      <c r="D100" s="95"/>
      <c r="E100" s="95"/>
      <c r="F100" s="95"/>
      <c r="G100" s="95"/>
      <c r="H100" s="95"/>
      <c r="I100" s="96"/>
      <c r="J100" s="13"/>
      <c r="K100" s="13"/>
      <c r="L100" s="13"/>
      <c r="M100" s="93"/>
    </row>
    <row r="101" customFormat="false" ht="15" hidden="false" customHeight="false" outlineLevel="0" collapsed="false">
      <c r="A101" s="91"/>
      <c r="B101" s="97" t="s">
        <v>106</v>
      </c>
      <c r="C101" s="98"/>
      <c r="D101" s="92" t="s">
        <v>107</v>
      </c>
      <c r="E101" s="92"/>
      <c r="F101" s="92"/>
      <c r="G101" s="92"/>
      <c r="H101" s="92"/>
      <c r="I101" s="99"/>
      <c r="J101" s="13"/>
      <c r="K101" s="13"/>
      <c r="L101" s="13"/>
      <c r="M101" s="93"/>
    </row>
    <row r="102" customFormat="false" ht="12.75" hidden="false" customHeight="true" outlineLevel="0" collapsed="false">
      <c r="A102" s="100" t="s">
        <v>108</v>
      </c>
      <c r="B102" s="100"/>
      <c r="C102" s="101" t="n">
        <f aca="false">IF(C101&lt;&gt;0,(H76*C101)/8,0)</f>
        <v>0</v>
      </c>
      <c r="D102" s="92" t="s">
        <v>109</v>
      </c>
      <c r="E102" s="92"/>
      <c r="F102" s="92"/>
      <c r="G102" s="92"/>
      <c r="H102" s="92"/>
      <c r="I102" s="99"/>
      <c r="J102" s="13"/>
      <c r="K102" s="13"/>
      <c r="L102" s="13"/>
      <c r="M102" s="93"/>
    </row>
    <row r="103" customFormat="false" ht="15" hidden="false" customHeight="false" outlineLevel="0" collapsed="false">
      <c r="A103" s="102"/>
      <c r="B103" s="92"/>
      <c r="C103" s="103" t="n">
        <f aca="false">H76*C101</f>
        <v>0</v>
      </c>
      <c r="D103" s="92" t="s">
        <v>110</v>
      </c>
      <c r="E103" s="92"/>
      <c r="F103" s="92"/>
      <c r="G103" s="92"/>
      <c r="H103" s="92"/>
      <c r="I103" s="99"/>
      <c r="J103" s="13"/>
      <c r="K103" s="13"/>
      <c r="L103" s="13"/>
      <c r="M103" s="93"/>
    </row>
    <row r="104" customFormat="false" ht="15" hidden="false" customHeight="false" outlineLevel="0" collapsed="false">
      <c r="A104" s="104"/>
      <c r="B104" s="105"/>
      <c r="C104" s="105"/>
      <c r="D104" s="105"/>
      <c r="E104" s="105"/>
      <c r="F104" s="105"/>
      <c r="G104" s="105"/>
      <c r="H104" s="105"/>
      <c r="I104" s="106"/>
      <c r="J104" s="13"/>
      <c r="K104" s="13"/>
      <c r="L104" s="13"/>
      <c r="M104" s="93"/>
    </row>
    <row r="105" customFormat="false" ht="15" hidden="false" customHeight="false" outlineLevel="0" collapsed="false">
      <c r="A105" s="102"/>
      <c r="B105" s="92"/>
      <c r="C105" s="92"/>
      <c r="D105" s="92"/>
      <c r="E105" s="92"/>
      <c r="F105" s="92"/>
      <c r="G105" s="92"/>
      <c r="H105" s="92"/>
      <c r="I105" s="92"/>
      <c r="J105" s="13"/>
      <c r="K105" s="13"/>
      <c r="L105" s="13"/>
      <c r="M105" s="93"/>
    </row>
    <row r="106" customFormat="false" ht="15" hidden="false" customHeight="false" outlineLevel="0" collapsed="false">
      <c r="A106" s="91" t="s">
        <v>111</v>
      </c>
      <c r="B106" s="92"/>
      <c r="C106" s="92"/>
      <c r="D106" s="92"/>
      <c r="E106" s="92"/>
      <c r="F106" s="92"/>
      <c r="G106" s="92"/>
      <c r="H106" s="92"/>
      <c r="I106" s="92"/>
      <c r="J106" s="13"/>
      <c r="K106" s="13"/>
      <c r="L106" s="13"/>
      <c r="M106" s="93"/>
    </row>
    <row r="107" customFormat="false" ht="15" hidden="false" customHeight="false" outlineLevel="0" collapsed="false">
      <c r="A107" s="107"/>
      <c r="B107" s="51"/>
      <c r="C107" s="51"/>
      <c r="D107" s="51"/>
      <c r="E107" s="51"/>
      <c r="F107" s="51"/>
      <c r="G107" s="51"/>
      <c r="H107" s="51"/>
      <c r="I107" s="51"/>
      <c r="J107" s="52"/>
      <c r="K107" s="13"/>
      <c r="L107" s="13"/>
      <c r="M107" s="93"/>
    </row>
    <row r="108" s="112" customFormat="true" ht="15" hidden="false" customHeight="true" outlineLevel="0" collapsed="false">
      <c r="A108" s="108" t="s">
        <v>112</v>
      </c>
      <c r="B108" s="109"/>
      <c r="C108" s="6" t="s">
        <v>113</v>
      </c>
      <c r="D108" s="6"/>
      <c r="E108" s="6"/>
      <c r="F108" s="6"/>
      <c r="G108" s="6"/>
      <c r="H108" s="6"/>
      <c r="I108" s="6"/>
      <c r="J108" s="110" t="n">
        <f aca="false">OR(C108="Nenhum",H76&lt;100)</f>
        <v>1</v>
      </c>
      <c r="K108" s="109"/>
      <c r="L108" s="109"/>
      <c r="M108" s="111"/>
    </row>
    <row r="109" customFormat="false" ht="15" hidden="false" customHeight="true" outlineLevel="0" collapsed="false">
      <c r="A109" s="113"/>
      <c r="B109" s="12"/>
      <c r="C109" s="12"/>
      <c r="D109" s="12"/>
      <c r="E109" s="12"/>
      <c r="F109" s="12"/>
      <c r="G109" s="12"/>
      <c r="H109" s="12"/>
      <c r="I109" s="12"/>
      <c r="J109" s="114"/>
      <c r="K109" s="115"/>
      <c r="L109" s="13"/>
      <c r="M109" s="93"/>
    </row>
    <row r="110" customFormat="false" ht="15" hidden="false" customHeight="false" outlineLevel="0" collapsed="false">
      <c r="A110" s="102" t="s">
        <v>114</v>
      </c>
      <c r="B110" s="92"/>
      <c r="C110" s="92"/>
      <c r="D110" s="92"/>
      <c r="E110" s="92"/>
      <c r="F110" s="12"/>
      <c r="G110" s="12"/>
      <c r="H110" s="12"/>
      <c r="I110" s="116" t="str">
        <f aca="false">IF(J108,"",H76^(VLOOKUP(C108,A124:B132,2,0)))</f>
        <v/>
      </c>
      <c r="J110" s="117" t="str">
        <f aca="false">IF(J108,"","meses")</f>
        <v/>
      </c>
      <c r="K110" s="13"/>
      <c r="L110" s="13"/>
      <c r="M110" s="93"/>
    </row>
    <row r="111" customFormat="false" ht="15" hidden="false" customHeight="false" outlineLevel="0" collapsed="false">
      <c r="A111" s="102"/>
      <c r="B111" s="92"/>
      <c r="C111" s="92"/>
      <c r="D111" s="92"/>
      <c r="E111" s="92"/>
      <c r="F111" s="12"/>
      <c r="G111" s="12"/>
      <c r="H111" s="12"/>
      <c r="I111" s="12"/>
      <c r="J111" s="117"/>
      <c r="K111" s="13"/>
      <c r="L111" s="13"/>
      <c r="M111" s="93"/>
    </row>
    <row r="112" customFormat="false" ht="15" hidden="false" customHeight="false" outlineLevel="0" collapsed="false">
      <c r="A112" s="102" t="s">
        <v>115</v>
      </c>
      <c r="B112" s="92"/>
      <c r="C112" s="92"/>
      <c r="D112" s="92"/>
      <c r="E112" s="92"/>
      <c r="F112" s="12"/>
      <c r="G112" s="12"/>
      <c r="H112" s="12"/>
      <c r="I112" s="116" t="str">
        <f aca="false">IF(J108,"",I110*0.75)</f>
        <v/>
      </c>
      <c r="J112" s="117" t="str">
        <f aca="false">IF(J108,"","meses")</f>
        <v/>
      </c>
      <c r="K112" s="13"/>
      <c r="L112" s="13"/>
      <c r="M112" s="93"/>
    </row>
    <row r="113" customFormat="false" ht="15" hidden="false" customHeight="false" outlineLevel="0" collapsed="false">
      <c r="A113" s="102"/>
      <c r="B113" s="92"/>
      <c r="C113" s="92"/>
      <c r="D113" s="92"/>
      <c r="E113" s="92"/>
      <c r="F113" s="12"/>
      <c r="G113" s="12"/>
      <c r="H113" s="12"/>
      <c r="I113" s="12"/>
      <c r="J113" s="114"/>
      <c r="K113" s="13"/>
      <c r="L113" s="13"/>
      <c r="M113" s="93"/>
    </row>
    <row r="114" customFormat="false" ht="15" hidden="false" customHeight="false" outlineLevel="0" collapsed="false">
      <c r="A114" s="102" t="s">
        <v>116</v>
      </c>
      <c r="B114" s="92"/>
      <c r="C114" s="92"/>
      <c r="D114" s="92"/>
      <c r="E114" s="92"/>
      <c r="F114" s="12"/>
      <c r="G114" s="12"/>
      <c r="H114" s="12"/>
      <c r="I114" s="118" t="n">
        <v>7</v>
      </c>
      <c r="J114" s="114" t="s">
        <v>117</v>
      </c>
      <c r="K114" s="13"/>
      <c r="L114" s="13"/>
      <c r="M114" s="93"/>
    </row>
    <row r="115" customFormat="false" ht="15" hidden="false" customHeight="false" outlineLevel="0" collapsed="false">
      <c r="A115" s="113"/>
      <c r="B115" s="12"/>
      <c r="C115" s="12"/>
      <c r="D115" s="12"/>
      <c r="E115" s="12"/>
      <c r="F115" s="12"/>
      <c r="G115" s="12"/>
      <c r="H115" s="12"/>
      <c r="I115" s="12"/>
      <c r="J115" s="114"/>
      <c r="K115" s="13"/>
      <c r="L115" s="13"/>
      <c r="M115" s="93"/>
    </row>
    <row r="116" customFormat="false" ht="15" hidden="false" customHeight="false" outlineLevel="0" collapsed="false">
      <c r="A116" s="113" t="s">
        <v>118</v>
      </c>
      <c r="B116" s="12"/>
      <c r="C116" s="12"/>
      <c r="D116" s="12"/>
      <c r="E116" s="12"/>
      <c r="F116" s="12"/>
      <c r="G116" s="12"/>
      <c r="H116" s="12"/>
      <c r="I116" s="116" t="str">
        <f aca="false">IF(J108,"",C103/(21*I110*I114))</f>
        <v/>
      </c>
      <c r="J116" s="114" t="s">
        <v>119</v>
      </c>
      <c r="K116" s="13"/>
      <c r="L116" s="13"/>
      <c r="M116" s="93"/>
    </row>
    <row r="117" customFormat="false" ht="15" hidden="false" customHeight="false" outlineLevel="0" collapsed="false">
      <c r="A117" s="104"/>
      <c r="B117" s="105"/>
      <c r="C117" s="105"/>
      <c r="D117" s="105"/>
      <c r="E117" s="105"/>
      <c r="F117" s="105"/>
      <c r="G117" s="105"/>
      <c r="H117" s="105"/>
      <c r="I117" s="105"/>
      <c r="J117" s="106"/>
      <c r="K117" s="13"/>
      <c r="L117" s="13"/>
      <c r="M117" s="93"/>
    </row>
    <row r="118" customFormat="false" ht="15" hidden="false" customHeight="false" outlineLevel="0" collapsed="false">
      <c r="A118" s="102"/>
      <c r="B118" s="92"/>
      <c r="C118" s="92"/>
      <c r="D118" s="92"/>
      <c r="E118" s="92"/>
      <c r="F118" s="92"/>
      <c r="G118" s="92"/>
      <c r="H118" s="92"/>
      <c r="I118" s="92"/>
      <c r="J118" s="13"/>
      <c r="K118" s="13"/>
      <c r="L118" s="13"/>
      <c r="M118" s="93"/>
    </row>
    <row r="119" customFormat="false" ht="15" hidden="false" customHeight="false" outlineLevel="0" collapsed="false">
      <c r="A119" s="91" t="s">
        <v>120</v>
      </c>
      <c r="B119" s="92"/>
      <c r="C119" s="92"/>
      <c r="D119" s="92"/>
      <c r="E119" s="92"/>
      <c r="F119" s="92"/>
      <c r="G119" s="92"/>
      <c r="H119" s="92"/>
      <c r="I119" s="92"/>
      <c r="J119" s="13"/>
      <c r="K119" s="13"/>
      <c r="L119" s="13"/>
      <c r="M119" s="93"/>
    </row>
    <row r="120" customFormat="false" ht="18" hidden="false" customHeight="true" outlineLevel="0" collapsed="false">
      <c r="A120" s="119" t="s">
        <v>121</v>
      </c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1"/>
    </row>
    <row r="121" customFormat="false" ht="42" hidden="false" customHeight="true" outlineLevel="0" collapsed="false">
      <c r="A121" s="122" t="s">
        <v>122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</row>
    <row r="122" s="124" customFormat="true" ht="33.75" hidden="false" customHeight="true" outlineLevel="0" collapsed="false">
      <c r="A122" s="123" t="s">
        <v>123</v>
      </c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</row>
    <row r="123" customFormat="false" ht="15" hidden="true" customHeight="false" outlineLevel="0" collapsed="false">
      <c r="A123" s="1" t="s">
        <v>124</v>
      </c>
    </row>
    <row r="124" customFormat="false" ht="15" hidden="true" customHeight="false" outlineLevel="0" collapsed="false">
      <c r="A124" s="1" t="s">
        <v>113</v>
      </c>
    </row>
    <row r="125" customFormat="false" ht="15" hidden="true" customHeight="false" outlineLevel="0" collapsed="false">
      <c r="A125" s="1" t="s">
        <v>125</v>
      </c>
      <c r="B125" s="1" t="n">
        <v>0.32</v>
      </c>
    </row>
    <row r="126" customFormat="false" ht="15" hidden="true" customHeight="false" outlineLevel="0" collapsed="false">
      <c r="A126" s="1" t="s">
        <v>126</v>
      </c>
      <c r="B126" s="1" t="n">
        <v>0.33</v>
      </c>
    </row>
    <row r="127" customFormat="false" ht="15" hidden="true" customHeight="false" outlineLevel="0" collapsed="false">
      <c r="A127" s="1" t="s">
        <v>127</v>
      </c>
      <c r="B127" s="1" t="n">
        <v>0.34</v>
      </c>
    </row>
    <row r="128" customFormat="false" ht="15" hidden="true" customHeight="false" outlineLevel="0" collapsed="false">
      <c r="A128" s="1" t="s">
        <v>128</v>
      </c>
      <c r="B128" s="1" t="n">
        <v>0.35</v>
      </c>
    </row>
    <row r="129" customFormat="false" ht="15" hidden="true" customHeight="false" outlineLevel="0" collapsed="false">
      <c r="A129" s="1" t="s">
        <v>129</v>
      </c>
      <c r="B129" s="1" t="n">
        <v>0.36</v>
      </c>
    </row>
    <row r="130" customFormat="false" ht="15" hidden="true" customHeight="false" outlineLevel="0" collapsed="false">
      <c r="A130" s="1" t="s">
        <v>130</v>
      </c>
      <c r="B130" s="1" t="n">
        <v>0.37</v>
      </c>
    </row>
    <row r="131" customFormat="false" ht="15" hidden="true" customHeight="false" outlineLevel="0" collapsed="false">
      <c r="A131" s="1" t="s">
        <v>131</v>
      </c>
      <c r="B131" s="1" t="n">
        <v>0.39</v>
      </c>
    </row>
    <row r="132" customFormat="false" ht="15" hidden="true" customHeight="false" outlineLevel="0" collapsed="false">
      <c r="A132" s="1" t="s">
        <v>132</v>
      </c>
      <c r="B132" s="1" t="n">
        <v>0.4</v>
      </c>
    </row>
    <row r="133" customFormat="false" ht="15" hidden="true" customHeight="false" outlineLevel="0" collapsed="false"/>
    <row r="134" customFormat="false" ht="15" hidden="true" customHeight="false" outlineLevel="0" collapsed="false">
      <c r="A134" s="1" t="s">
        <v>133</v>
      </c>
      <c r="B134" s="1" t="s">
        <v>134</v>
      </c>
    </row>
    <row r="135" customFormat="false" ht="15" hidden="true" customHeight="false" outlineLevel="0" collapsed="false">
      <c r="A135" s="1" t="s">
        <v>57</v>
      </c>
      <c r="B135" s="1" t="n">
        <v>0</v>
      </c>
    </row>
    <row r="136" customFormat="false" ht="15" hidden="true" customHeight="false" outlineLevel="0" collapsed="false">
      <c r="A136" s="1" t="s">
        <v>135</v>
      </c>
      <c r="B136" s="125" t="n">
        <v>0.2</v>
      </c>
    </row>
    <row r="137" customFormat="false" ht="15" hidden="true" customHeight="false" outlineLevel="0" collapsed="false">
      <c r="A137" s="1" t="s">
        <v>136</v>
      </c>
      <c r="B137" s="125" t="n">
        <v>0.5</v>
      </c>
    </row>
    <row r="138" customFormat="false" ht="15" hidden="true" customHeight="false" outlineLevel="0" collapsed="false">
      <c r="A138" s="1" t="s">
        <v>137</v>
      </c>
      <c r="B138" s="125" t="n">
        <v>0.7</v>
      </c>
    </row>
    <row r="139" customFormat="false" ht="15" hidden="true" customHeight="false" outlineLevel="0" collapsed="false"/>
    <row r="140" customFormat="false" ht="15" hidden="true" customHeight="false" outlineLevel="0" collapsed="false">
      <c r="A140" s="1" t="s">
        <v>68</v>
      </c>
      <c r="B140" s="126" t="n">
        <v>0.05</v>
      </c>
      <c r="C140" s="126" t="n">
        <f aca="false">B140</f>
        <v>0.05</v>
      </c>
    </row>
    <row r="141" customFormat="false" ht="15" hidden="true" customHeight="false" outlineLevel="0" collapsed="false">
      <c r="A141" s="1" t="s">
        <v>138</v>
      </c>
      <c r="B141" s="126" t="n">
        <v>0.2</v>
      </c>
      <c r="C141" s="126" t="n">
        <f aca="false">C140+B141</f>
        <v>0.25</v>
      </c>
    </row>
    <row r="142" customFormat="false" ht="15" hidden="true" customHeight="false" outlineLevel="0" collapsed="false">
      <c r="A142" s="1" t="s">
        <v>139</v>
      </c>
      <c r="B142" s="126" t="n">
        <v>0.1</v>
      </c>
      <c r="C142" s="126" t="n">
        <f aca="false">C141+B142</f>
        <v>0.35</v>
      </c>
    </row>
    <row r="143" customFormat="false" ht="15" hidden="true" customHeight="false" outlineLevel="0" collapsed="false">
      <c r="A143" s="1" t="s">
        <v>140</v>
      </c>
      <c r="B143" s="126" t="n">
        <v>0.4</v>
      </c>
      <c r="C143" s="126" t="n">
        <f aca="false">C142+B143</f>
        <v>0.75</v>
      </c>
    </row>
    <row r="144" customFormat="false" ht="15" hidden="true" customHeight="false" outlineLevel="0" collapsed="false">
      <c r="A144" s="1" t="s">
        <v>141</v>
      </c>
      <c r="B144" s="126" t="n">
        <v>0.15</v>
      </c>
      <c r="C144" s="126" t="n">
        <f aca="false">C143+B144</f>
        <v>0.9</v>
      </c>
    </row>
    <row r="145" customFormat="false" ht="15" hidden="true" customHeight="false" outlineLevel="0" collapsed="false">
      <c r="A145" s="1" t="s">
        <v>142</v>
      </c>
      <c r="B145" s="126" t="n">
        <v>0.05</v>
      </c>
      <c r="C145" s="126" t="n">
        <f aca="false">C144+B145</f>
        <v>0.95</v>
      </c>
    </row>
    <row r="146" customFormat="false" ht="15" hidden="true" customHeight="false" outlineLevel="0" collapsed="false">
      <c r="A146" s="1" t="s">
        <v>143</v>
      </c>
      <c r="B146" s="126" t="n">
        <v>0.05</v>
      </c>
      <c r="C146" s="126" t="n">
        <f aca="false">C145+B146</f>
        <v>1</v>
      </c>
    </row>
  </sheetData>
  <mergeCells count="57">
    <mergeCell ref="A1:J1"/>
    <mergeCell ref="B3:C3"/>
    <mergeCell ref="I3:J3"/>
    <mergeCell ref="B5:J5"/>
    <mergeCell ref="B7:D7"/>
    <mergeCell ref="G7:J7"/>
    <mergeCell ref="B9:D9"/>
    <mergeCell ref="G9:J9"/>
    <mergeCell ref="B11:D11"/>
    <mergeCell ref="G11:J11"/>
    <mergeCell ref="B13:D13"/>
    <mergeCell ref="G13:J13"/>
    <mergeCell ref="A15:A18"/>
    <mergeCell ref="B15:J18"/>
    <mergeCell ref="B20:J20"/>
    <mergeCell ref="A22:A25"/>
    <mergeCell ref="B22:J25"/>
    <mergeCell ref="B27:J30"/>
    <mergeCell ref="A33:I33"/>
    <mergeCell ref="D35:F35"/>
    <mergeCell ref="G35:I35"/>
    <mergeCell ref="A37:A39"/>
    <mergeCell ref="B37:C37"/>
    <mergeCell ref="B38:C38"/>
    <mergeCell ref="B39:C39"/>
    <mergeCell ref="A40:A42"/>
    <mergeCell ref="B40:C40"/>
    <mergeCell ref="B41:C41"/>
    <mergeCell ref="B42:C42"/>
    <mergeCell ref="A43:A45"/>
    <mergeCell ref="B43:C43"/>
    <mergeCell ref="B44:C44"/>
    <mergeCell ref="B45:C45"/>
    <mergeCell ref="A46:A48"/>
    <mergeCell ref="B46:C46"/>
    <mergeCell ref="B47:C47"/>
    <mergeCell ref="B48:C48"/>
    <mergeCell ref="A49:A51"/>
    <mergeCell ref="B49:C49"/>
    <mergeCell ref="B50:C50"/>
    <mergeCell ref="B51:C51"/>
    <mergeCell ref="A72:B72"/>
    <mergeCell ref="F74:G74"/>
    <mergeCell ref="A76:G76"/>
    <mergeCell ref="A77:H77"/>
    <mergeCell ref="A79:H79"/>
    <mergeCell ref="A81:H81"/>
    <mergeCell ref="D82:E82"/>
    <mergeCell ref="G82:H82"/>
    <mergeCell ref="A93:H93"/>
    <mergeCell ref="B94:H94"/>
    <mergeCell ref="B95:H95"/>
    <mergeCell ref="B96:H96"/>
    <mergeCell ref="A102:B102"/>
    <mergeCell ref="C108:I108"/>
    <mergeCell ref="A121:M121"/>
    <mergeCell ref="A122:M122"/>
  </mergeCells>
  <dataValidations count="6">
    <dataValidation allowBlank="true" operator="between" showDropDown="false" showErrorMessage="true" showInputMessage="true" sqref="C60 C62 C64 C66 C68 C70 C74" type="list">
      <formula1>$A$58:$B$58</formula1>
      <formula2>0</formula2>
    </dataValidation>
    <dataValidation allowBlank="true" operator="between" showDropDown="false" showErrorMessage="true" showInputMessage="true" sqref="C108 H109" type="list">
      <formula1>$A$124:$A$132</formula1>
      <formula2>0</formula2>
    </dataValidation>
    <dataValidation allowBlank="true" operator="between" showDropDown="false" showErrorMessage="true" showInputMessage="true" sqref="F74" type="list">
      <formula1>$A$140:$A$146</formula1>
      <formula2>0</formula2>
    </dataValidation>
    <dataValidation allowBlank="true" operator="between" showDropDown="false" showErrorMessage="true" showInputMessage="true" sqref="C72" type="list">
      <formula1>$A$135:$A$138</formula1>
      <formula2>0</formula2>
    </dataValidation>
    <dataValidation allowBlank="true" operator="between" showDropDown="false" showErrorMessage="true" showInputMessage="true" sqref="B13:D13" type="list">
      <formula1>Validar!$D$9:$D$11</formula1>
      <formula2>0</formula2>
    </dataValidation>
    <dataValidation allowBlank="true" operator="between" showDropDown="false" showErrorMessage="true" showInputMessage="true" sqref="B7:D7" type="list">
      <formula1>Validar!$A$6:$A$70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AO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.29"/>
    <col collapsed="false" customWidth="true" hidden="false" outlineLevel="0" max="2" min="2" style="1" width="25.71"/>
    <col collapsed="false" customWidth="true" hidden="false" outlineLevel="0" max="3" min="3" style="1" width="7.71"/>
    <col collapsed="false" customWidth="true" hidden="true" outlineLevel="0" max="4" min="4" style="1" width="1.71"/>
    <col collapsed="false" customWidth="true" hidden="false" outlineLevel="0" max="5" min="5" style="1" width="4.29"/>
    <col collapsed="false" customWidth="true" hidden="true" outlineLevel="0" max="6" min="6" style="1" width="1.71"/>
    <col collapsed="false" customWidth="true" hidden="false" outlineLevel="0" max="7" min="7" style="1" width="10.71"/>
    <col collapsed="false" customWidth="true" hidden="true" outlineLevel="0" max="8" min="8" style="1" width="1.71"/>
    <col collapsed="false" customWidth="true" hidden="false" outlineLevel="0" max="9" min="9" style="1" width="4.86"/>
    <col collapsed="false" customWidth="true" hidden="true" outlineLevel="0" max="10" min="10" style="1" width="1.71"/>
    <col collapsed="false" customWidth="true" hidden="false" outlineLevel="0" max="11" min="11" style="1" width="11.14"/>
    <col collapsed="false" customWidth="true" hidden="true" outlineLevel="0" max="12" min="12" style="1" width="1.71"/>
    <col collapsed="false" customWidth="true" hidden="false" outlineLevel="0" max="13" min="13" style="1" width="25.71"/>
    <col collapsed="false" customWidth="true" hidden="true" outlineLevel="0" max="14" min="14" style="1" width="1.71"/>
    <col collapsed="false" customWidth="true" hidden="false" outlineLevel="0" max="15" min="15" style="1" width="12.71"/>
    <col collapsed="false" customWidth="true" hidden="true" outlineLevel="0" max="24" min="16" style="1" width="12.71"/>
    <col collapsed="false" customWidth="true" hidden="false" outlineLevel="0" max="25" min="25" style="1" width="8.71"/>
    <col collapsed="false" customWidth="true" hidden="true" outlineLevel="0" max="30" min="26" style="1" width="8.71"/>
    <col collapsed="false" customWidth="true" hidden="false" outlineLevel="0" max="31" min="31" style="1" width="7.71"/>
    <col collapsed="false" customWidth="true" hidden="true" outlineLevel="0" max="36" min="32" style="1" width="9.42"/>
    <col collapsed="false" customWidth="true" hidden="false" outlineLevel="0" max="37" min="37" style="1" width="34.42"/>
    <col collapsed="false" customWidth="true" hidden="true" outlineLevel="0" max="38" min="38" style="1" width="0.42"/>
    <col collapsed="false" customWidth="true" hidden="true" outlineLevel="0" max="39" min="39" style="127" width="5.43"/>
    <col collapsed="false" customWidth="true" hidden="false" outlineLevel="0" max="40" min="40" style="1" width="25.29"/>
    <col collapsed="false" customWidth="false" hidden="false" outlineLevel="0" max="1024" min="41" style="1" width="9.14"/>
  </cols>
  <sheetData>
    <row r="2" customFormat="false" ht="15" hidden="false" customHeight="false" outlineLevel="0" collapsed="false">
      <c r="B2" s="4" t="s">
        <v>144</v>
      </c>
      <c r="E2" s="128" t="str">
        <f aca="false">Versão!C4</f>
        <v>&lt; Informar o nome da aplicação e Solicitação de Serviço a que se refere a contagem &gt;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customFormat="false" ht="15" hidden="true" customHeight="false" outlineLevel="0" collapsed="false">
      <c r="B3" s="4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</row>
    <row r="4" customFormat="false" ht="15" hidden="true" customHeight="false" outlineLevel="0" collapsed="false">
      <c r="B4" s="4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</row>
    <row r="5" customFormat="false" ht="15" hidden="true" customHeight="false" outlineLevel="0" collapsed="false">
      <c r="B5" s="4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</row>
    <row r="6" customFormat="false" ht="15" hidden="true" customHeight="false" outlineLevel="0" collapsed="false">
      <c r="B6" s="4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</row>
    <row r="7" customFormat="false" ht="15" hidden="true" customHeight="false" outlineLevel="0" collapsed="false">
      <c r="B7" s="4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</row>
    <row r="9" customFormat="false" ht="15.75" hidden="false" customHeight="false" outlineLevel="0" collapsed="false">
      <c r="B9" s="130" t="s">
        <v>145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</row>
    <row r="10" customFormat="false" ht="15" hidden="true" customHeight="false" outlineLevel="0" collapsed="false"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</row>
    <row r="11" customFormat="false" ht="15" hidden="true" customHeight="false" outlineLevel="0" collapsed="false">
      <c r="B11" s="132" t="s">
        <v>146</v>
      </c>
      <c r="C11" s="133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</row>
    <row r="12" customFormat="false" ht="39" hidden="true" customHeight="true" outlineLevel="0" collapsed="false">
      <c r="B12" s="134" t="s">
        <v>147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</row>
    <row r="13" customFormat="false" ht="19.5" hidden="true" customHeight="true" outlineLevel="0" collapsed="false">
      <c r="B13" s="135" t="s">
        <v>148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</row>
    <row r="14" customFormat="false" ht="21" hidden="true" customHeight="true" outlineLevel="0" collapsed="false">
      <c r="B14" s="135" t="s">
        <v>149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</row>
    <row r="15" customFormat="false" ht="21.75" hidden="true" customHeight="true" outlineLevel="0" collapsed="false">
      <c r="B15" s="136" t="s">
        <v>150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</row>
    <row r="16" customFormat="false" ht="15.75" hidden="false" customHeight="false" outlineLevel="0" collapsed="false"/>
    <row r="17" s="137" customFormat="true" ht="45" hidden="false" customHeight="true" outlineLevel="0" collapsed="false">
      <c r="B17" s="138" t="s">
        <v>151</v>
      </c>
      <c r="C17" s="138"/>
      <c r="D17" s="139"/>
      <c r="E17" s="140" t="s">
        <v>152</v>
      </c>
      <c r="F17" s="141"/>
      <c r="G17" s="140" t="s">
        <v>153</v>
      </c>
      <c r="H17" s="141"/>
      <c r="I17" s="140" t="s">
        <v>154</v>
      </c>
      <c r="J17" s="141"/>
      <c r="K17" s="140" t="s">
        <v>155</v>
      </c>
      <c r="L17" s="142"/>
      <c r="M17" s="143" t="s">
        <v>156</v>
      </c>
      <c r="N17" s="143"/>
      <c r="O17" s="143" t="s">
        <v>157</v>
      </c>
      <c r="P17" s="143"/>
      <c r="Q17" s="143"/>
      <c r="R17" s="143"/>
      <c r="S17" s="143"/>
      <c r="T17" s="143"/>
      <c r="U17" s="143"/>
      <c r="V17" s="143"/>
      <c r="W17" s="143"/>
      <c r="X17" s="143"/>
      <c r="Y17" s="143" t="s">
        <v>158</v>
      </c>
      <c r="Z17" s="143"/>
      <c r="AA17" s="143"/>
      <c r="AB17" s="143"/>
      <c r="AC17" s="143"/>
      <c r="AD17" s="143"/>
      <c r="AE17" s="143" t="s">
        <v>159</v>
      </c>
      <c r="AF17" s="143" t="s">
        <v>160</v>
      </c>
      <c r="AG17" s="143"/>
      <c r="AH17" s="143"/>
      <c r="AI17" s="143"/>
      <c r="AJ17" s="143"/>
      <c r="AK17" s="140" t="s">
        <v>161</v>
      </c>
      <c r="AL17" s="144"/>
      <c r="AM17" s="145"/>
      <c r="AN17" s="140" t="s">
        <v>162</v>
      </c>
      <c r="AO17" s="146"/>
    </row>
    <row r="18" customFormat="false" ht="15.75" hidden="false" customHeight="false" outlineLevel="0" collapsed="false"/>
    <row r="19" customFormat="false" ht="15" hidden="false" customHeight="false" outlineLevel="0" collapsed="false">
      <c r="B19" s="147"/>
      <c r="C19" s="147"/>
      <c r="D19" s="148"/>
      <c r="E19" s="148"/>
      <c r="F19" s="148"/>
      <c r="G19" s="148"/>
      <c r="H19" s="148"/>
      <c r="I19" s="148"/>
      <c r="J19" s="148"/>
      <c r="K19" s="148"/>
      <c r="L19" s="148" t="s">
        <v>10</v>
      </c>
      <c r="M19" s="149" t="str">
        <f aca="false">IF(ISBLANK(AM19),'Item-Roteiro_PONTUA'!$B$20,VLOOKUP(AM19,'Item-Roteiro_PONTUA'!$A$2:$C$86,2,0))</f>
        <v>Desenvolvimento</v>
      </c>
      <c r="N19" s="148" t="s">
        <v>10</v>
      </c>
      <c r="O19" s="149" t="str">
        <f aca="false">IF(ISBLANK(AM19),'Item-Roteiro_PONTUA'!$C$20,VLOOKUP(AM19,'Item-Roteiro_PONTUA'!$A$2:$C$86,3,0))</f>
        <v>Incluída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50"/>
      <c r="Z19" s="148"/>
      <c r="AA19" s="148"/>
      <c r="AB19" s="148"/>
      <c r="AC19" s="148"/>
      <c r="AD19" s="148"/>
      <c r="AE19" s="150"/>
      <c r="AF19" s="151" t="str">
        <f aca="false">IF(Y19="Baixa",7,IF(Y19="Média",10,IF(Y19="Alta",15,"*")))</f>
        <v>*</v>
      </c>
      <c r="AG19" s="152"/>
      <c r="AH19" s="152"/>
      <c r="AI19" s="152"/>
      <c r="AJ19" s="152"/>
      <c r="AK19" s="153"/>
      <c r="AL19" s="1" t="s">
        <v>10</v>
      </c>
      <c r="AM19" s="154"/>
      <c r="AN19" s="153"/>
      <c r="AO19" s="154"/>
    </row>
    <row r="20" customFormat="false" ht="15" hidden="false" customHeight="false" outlineLevel="0" collapsed="false">
      <c r="B20" s="147"/>
      <c r="C20" s="147"/>
      <c r="D20" s="148"/>
      <c r="E20" s="148"/>
      <c r="F20" s="148"/>
      <c r="G20" s="148"/>
      <c r="H20" s="148"/>
      <c r="I20" s="148"/>
      <c r="J20" s="148"/>
      <c r="K20" s="148"/>
      <c r="L20" s="148"/>
      <c r="M20" s="149" t="str">
        <f aca="false">IF(ISBLANK(AM20),'Item-Roteiro_PONTUA'!$B$20,VLOOKUP(AM20,'Item-Roteiro_PONTUA'!$A$2:$C$86,2,0))</f>
        <v>Desenvolvimento</v>
      </c>
      <c r="N20" s="148" t="s">
        <v>10</v>
      </c>
      <c r="O20" s="149" t="str">
        <f aca="false">IF(ISBLANK(AM20),'Item-Roteiro_PONTUA'!$C$20,VLOOKUP(AM20,'Item-Roteiro_PONTUA'!$A$2:$C$86,3,0))</f>
        <v>Incluída</v>
      </c>
      <c r="P20" s="147"/>
      <c r="Q20" s="147"/>
      <c r="R20" s="147"/>
      <c r="S20" s="147"/>
      <c r="T20" s="147"/>
      <c r="U20" s="147"/>
      <c r="V20" s="147"/>
      <c r="W20" s="147"/>
      <c r="X20" s="147"/>
      <c r="Y20" s="150"/>
      <c r="Z20" s="148"/>
      <c r="AA20" s="148"/>
      <c r="AB20" s="148"/>
      <c r="AC20" s="148"/>
      <c r="AD20" s="148"/>
      <c r="AE20" s="150"/>
      <c r="AF20" s="151"/>
      <c r="AG20" s="152"/>
      <c r="AH20" s="152"/>
      <c r="AI20" s="152"/>
      <c r="AJ20" s="152"/>
      <c r="AK20" s="153"/>
      <c r="AM20" s="155"/>
      <c r="AN20" s="153"/>
      <c r="AO20" s="155"/>
    </row>
    <row r="21" customFormat="false" ht="15" hidden="false" customHeight="false" outlineLevel="0" collapsed="false">
      <c r="B21" s="147"/>
      <c r="C21" s="147"/>
      <c r="D21" s="148"/>
      <c r="E21" s="148"/>
      <c r="F21" s="148"/>
      <c r="G21" s="148"/>
      <c r="H21" s="148"/>
      <c r="I21" s="148"/>
      <c r="J21" s="148"/>
      <c r="K21" s="148"/>
      <c r="L21" s="148"/>
      <c r="M21" s="149" t="str">
        <f aca="false">IF(ISBLANK(AM21),'Item-Roteiro_PONTUA'!$B$20,VLOOKUP(AM21,'Item-Roteiro_PONTUA'!$A$2:$C$86,2,0))</f>
        <v>Desenvolvimento</v>
      </c>
      <c r="N21" s="148" t="s">
        <v>10</v>
      </c>
      <c r="O21" s="149" t="str">
        <f aca="false">IF(ISBLANK(AM21),'Item-Roteiro_PONTUA'!$C$20,VLOOKUP(AM21,'Item-Roteiro_PONTUA'!$A$2:$C$86,3,0))</f>
        <v>Incluída</v>
      </c>
      <c r="P21" s="147"/>
      <c r="Q21" s="147"/>
      <c r="R21" s="147"/>
      <c r="S21" s="147"/>
      <c r="T21" s="147"/>
      <c r="U21" s="147"/>
      <c r="V21" s="147"/>
      <c r="W21" s="147"/>
      <c r="X21" s="147"/>
      <c r="Y21" s="150"/>
      <c r="Z21" s="148"/>
      <c r="AA21" s="148"/>
      <c r="AB21" s="148"/>
      <c r="AC21" s="148"/>
      <c r="AD21" s="148"/>
      <c r="AE21" s="150"/>
      <c r="AF21" s="151"/>
      <c r="AG21" s="152"/>
      <c r="AH21" s="152"/>
      <c r="AI21" s="152"/>
      <c r="AJ21" s="152"/>
      <c r="AK21" s="153"/>
      <c r="AM21" s="155"/>
      <c r="AN21" s="153"/>
      <c r="AO21" s="155"/>
    </row>
    <row r="22" customFormat="false" ht="15" hidden="false" customHeight="false" outlineLevel="0" collapsed="false">
      <c r="B22" s="147"/>
      <c r="C22" s="147"/>
      <c r="D22" s="148"/>
      <c r="E22" s="148"/>
      <c r="F22" s="148"/>
      <c r="G22" s="148"/>
      <c r="H22" s="148"/>
      <c r="I22" s="148"/>
      <c r="J22" s="148"/>
      <c r="K22" s="148"/>
      <c r="L22" s="148"/>
      <c r="M22" s="149" t="str">
        <f aca="false">IF(ISBLANK(AM22),'Item-Roteiro_PONTUA'!$B$20,VLOOKUP(AM22,'Item-Roteiro_PONTUA'!$A$2:$C$86,2,0))</f>
        <v>Desenvolvimento</v>
      </c>
      <c r="N22" s="148" t="s">
        <v>10</v>
      </c>
      <c r="O22" s="149" t="str">
        <f aca="false">IF(ISBLANK(AM22),'Item-Roteiro_PONTUA'!$C$20,VLOOKUP(AM22,'Item-Roteiro_PONTUA'!$A$2:$C$86,3,0))</f>
        <v>Incluída</v>
      </c>
      <c r="P22" s="147"/>
      <c r="Q22" s="147"/>
      <c r="R22" s="147"/>
      <c r="S22" s="147"/>
      <c r="T22" s="147"/>
      <c r="U22" s="147"/>
      <c r="V22" s="147"/>
      <c r="W22" s="147"/>
      <c r="X22" s="147"/>
      <c r="Y22" s="150"/>
      <c r="Z22" s="148"/>
      <c r="AA22" s="148"/>
      <c r="AB22" s="148"/>
      <c r="AC22" s="148"/>
      <c r="AD22" s="148"/>
      <c r="AE22" s="150"/>
      <c r="AF22" s="151"/>
      <c r="AG22" s="152"/>
      <c r="AH22" s="152"/>
      <c r="AI22" s="152"/>
      <c r="AJ22" s="152"/>
      <c r="AK22" s="153"/>
      <c r="AM22" s="155"/>
      <c r="AN22" s="153"/>
      <c r="AO22" s="155"/>
    </row>
    <row r="23" customFormat="false" ht="15" hidden="false" customHeight="false" outlineLevel="0" collapsed="false">
      <c r="B23" s="147"/>
      <c r="C23" s="147"/>
      <c r="D23" s="148"/>
      <c r="E23" s="148"/>
      <c r="F23" s="148"/>
      <c r="G23" s="148"/>
      <c r="H23" s="148"/>
      <c r="I23" s="148"/>
      <c r="J23" s="148"/>
      <c r="K23" s="148"/>
      <c r="L23" s="148"/>
      <c r="M23" s="149" t="str">
        <f aca="false">IF(ISBLANK(AM23),'Item-Roteiro_PONTUA'!$B$20,VLOOKUP(AM23,'Item-Roteiro_PONTUA'!$A$2:$C$86,2,0))</f>
        <v>Desenvolvimento</v>
      </c>
      <c r="N23" s="148" t="s">
        <v>10</v>
      </c>
      <c r="O23" s="149" t="str">
        <f aca="false">IF(ISBLANK(AM23),'Item-Roteiro_PONTUA'!$C$20,VLOOKUP(AM23,'Item-Roteiro_PONTUA'!$A$2:$C$86,3,0))</f>
        <v>Incluída</v>
      </c>
      <c r="P23" s="147"/>
      <c r="Q23" s="147"/>
      <c r="R23" s="147"/>
      <c r="S23" s="147"/>
      <c r="T23" s="147"/>
      <c r="U23" s="147"/>
      <c r="V23" s="147"/>
      <c r="W23" s="147"/>
      <c r="X23" s="147"/>
      <c r="Y23" s="150"/>
      <c r="Z23" s="148"/>
      <c r="AA23" s="148"/>
      <c r="AB23" s="148"/>
      <c r="AC23" s="148"/>
      <c r="AD23" s="148"/>
      <c r="AE23" s="150"/>
      <c r="AF23" s="151"/>
      <c r="AG23" s="152"/>
      <c r="AH23" s="152"/>
      <c r="AI23" s="152"/>
      <c r="AJ23" s="152"/>
      <c r="AK23" s="153"/>
      <c r="AM23" s="155"/>
      <c r="AN23" s="153"/>
      <c r="AO23" s="155"/>
    </row>
    <row r="24" customFormat="false" ht="15" hidden="false" customHeight="false" outlineLevel="0" collapsed="false">
      <c r="B24" s="147"/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9" t="str">
        <f aca="false">IF(ISBLANK(AM24),'Item-Roteiro_PONTUA'!$B$20,VLOOKUP(AM24,'Item-Roteiro_PONTUA'!$A$2:$C$86,2,0))</f>
        <v>Desenvolvimento</v>
      </c>
      <c r="N24" s="148" t="s">
        <v>10</v>
      </c>
      <c r="O24" s="149" t="str">
        <f aca="false">IF(ISBLANK(AM24),'Item-Roteiro_PONTUA'!$C$20,VLOOKUP(AM24,'Item-Roteiro_PONTUA'!$A$2:$C$86,3,0))</f>
        <v>Incluída</v>
      </c>
      <c r="P24" s="147"/>
      <c r="Q24" s="147"/>
      <c r="R24" s="147"/>
      <c r="S24" s="147"/>
      <c r="T24" s="147"/>
      <c r="U24" s="147"/>
      <c r="V24" s="147"/>
      <c r="W24" s="147"/>
      <c r="X24" s="147"/>
      <c r="Y24" s="150"/>
      <c r="Z24" s="148"/>
      <c r="AA24" s="148"/>
      <c r="AB24" s="148"/>
      <c r="AC24" s="148"/>
      <c r="AD24" s="148"/>
      <c r="AE24" s="150"/>
      <c r="AF24" s="151"/>
      <c r="AG24" s="152"/>
      <c r="AH24" s="152"/>
      <c r="AI24" s="152"/>
      <c r="AJ24" s="152"/>
      <c r="AK24" s="153"/>
      <c r="AM24" s="155"/>
      <c r="AN24" s="153"/>
      <c r="AO24" s="155"/>
    </row>
    <row r="25" customFormat="false" ht="15" hidden="false" customHeight="false" outlineLevel="0" collapsed="false">
      <c r="B25" s="147"/>
      <c r="C25" s="147"/>
      <c r="D25" s="148"/>
      <c r="E25" s="148"/>
      <c r="F25" s="148"/>
      <c r="G25" s="148"/>
      <c r="H25" s="148"/>
      <c r="I25" s="148"/>
      <c r="J25" s="148"/>
      <c r="K25" s="148"/>
      <c r="L25" s="148"/>
      <c r="M25" s="149" t="str">
        <f aca="false">IF(ISBLANK(AM25),'Item-Roteiro_PONTUA'!$B$20,VLOOKUP(AM25,'Item-Roteiro_PONTUA'!$A$2:$C$86,2,0))</f>
        <v>Desenvolvimento</v>
      </c>
      <c r="N25" s="148" t="s">
        <v>10</v>
      </c>
      <c r="O25" s="149" t="str">
        <f aca="false">IF(ISBLANK(AM25),'Item-Roteiro_PONTUA'!$C$20,VLOOKUP(AM25,'Item-Roteiro_PONTUA'!$A$2:$C$86,3,0))</f>
        <v>Incluída</v>
      </c>
      <c r="P25" s="147"/>
      <c r="Q25" s="147"/>
      <c r="R25" s="147"/>
      <c r="S25" s="147"/>
      <c r="T25" s="147"/>
      <c r="U25" s="147"/>
      <c r="V25" s="147"/>
      <c r="W25" s="147"/>
      <c r="X25" s="147"/>
      <c r="Y25" s="150"/>
      <c r="Z25" s="148"/>
      <c r="AA25" s="148"/>
      <c r="AB25" s="148"/>
      <c r="AC25" s="148"/>
      <c r="AD25" s="148"/>
      <c r="AE25" s="150"/>
      <c r="AF25" s="151"/>
      <c r="AG25" s="152"/>
      <c r="AH25" s="152"/>
      <c r="AI25" s="152"/>
      <c r="AJ25" s="152"/>
      <c r="AK25" s="153"/>
      <c r="AM25" s="155"/>
      <c r="AN25" s="153"/>
      <c r="AO25" s="155"/>
    </row>
    <row r="26" customFormat="false" ht="15" hidden="false" customHeight="false" outlineLevel="0" collapsed="false">
      <c r="B26" s="147"/>
      <c r="C26" s="147"/>
      <c r="D26" s="148"/>
      <c r="E26" s="148"/>
      <c r="F26" s="148"/>
      <c r="G26" s="148"/>
      <c r="H26" s="148"/>
      <c r="I26" s="148"/>
      <c r="J26" s="148"/>
      <c r="K26" s="148"/>
      <c r="L26" s="148"/>
      <c r="M26" s="149" t="str">
        <f aca="false">IF(ISBLANK(AM26),'Item-Roteiro_PONTUA'!$B$20,VLOOKUP(AM26,'Item-Roteiro_PONTUA'!$A$2:$C$86,2,0))</f>
        <v>Desenvolvimento</v>
      </c>
      <c r="N26" s="148" t="s">
        <v>10</v>
      </c>
      <c r="O26" s="149" t="str">
        <f aca="false">IF(ISBLANK(AM26),'Item-Roteiro_PONTUA'!$C$20,VLOOKUP(AM26,'Item-Roteiro_PONTUA'!$A$2:$C$86,3,0))</f>
        <v>Incluída</v>
      </c>
      <c r="P26" s="147"/>
      <c r="Q26" s="147"/>
      <c r="R26" s="147"/>
      <c r="S26" s="147"/>
      <c r="T26" s="147"/>
      <c r="U26" s="147"/>
      <c r="V26" s="147"/>
      <c r="W26" s="147"/>
      <c r="X26" s="147"/>
      <c r="Y26" s="150"/>
      <c r="Z26" s="148"/>
      <c r="AA26" s="148"/>
      <c r="AB26" s="148"/>
      <c r="AC26" s="148"/>
      <c r="AD26" s="148"/>
      <c r="AE26" s="150"/>
      <c r="AF26" s="151"/>
      <c r="AG26" s="152"/>
      <c r="AH26" s="152"/>
      <c r="AI26" s="152"/>
      <c r="AJ26" s="152"/>
      <c r="AK26" s="153"/>
      <c r="AM26" s="155"/>
      <c r="AN26" s="153"/>
      <c r="AO26" s="155"/>
    </row>
    <row r="27" customFormat="false" ht="15" hidden="false" customHeight="false" outlineLevel="0" collapsed="false">
      <c r="B27" s="147"/>
      <c r="C27" s="147"/>
      <c r="D27" s="148"/>
      <c r="E27" s="148"/>
      <c r="F27" s="148"/>
      <c r="G27" s="148"/>
      <c r="H27" s="148"/>
      <c r="I27" s="148"/>
      <c r="J27" s="148"/>
      <c r="K27" s="148"/>
      <c r="L27" s="148"/>
      <c r="M27" s="149" t="str">
        <f aca="false">IF(ISBLANK(AM27),'Item-Roteiro_PONTUA'!$B$20,VLOOKUP(AM27,'Item-Roteiro_PONTUA'!$A$2:$C$86,2,0))</f>
        <v>Desenvolvimento</v>
      </c>
      <c r="N27" s="148" t="s">
        <v>10</v>
      </c>
      <c r="O27" s="149" t="str">
        <f aca="false">IF(ISBLANK(AM27),'Item-Roteiro_PONTUA'!$C$20,VLOOKUP(AM27,'Item-Roteiro_PONTUA'!$A$2:$C$86,3,0))</f>
        <v>Incluída</v>
      </c>
      <c r="P27" s="147"/>
      <c r="Q27" s="147"/>
      <c r="R27" s="147"/>
      <c r="S27" s="147"/>
      <c r="T27" s="147"/>
      <c r="U27" s="147"/>
      <c r="V27" s="147"/>
      <c r="W27" s="147"/>
      <c r="X27" s="147"/>
      <c r="Y27" s="150"/>
      <c r="Z27" s="148"/>
      <c r="AA27" s="148"/>
      <c r="AB27" s="148"/>
      <c r="AC27" s="148"/>
      <c r="AD27" s="148"/>
      <c r="AE27" s="150"/>
      <c r="AF27" s="151"/>
      <c r="AG27" s="152"/>
      <c r="AH27" s="152"/>
      <c r="AI27" s="152"/>
      <c r="AJ27" s="152"/>
      <c r="AK27" s="153"/>
      <c r="AM27" s="155"/>
      <c r="AN27" s="153"/>
      <c r="AO27" s="155"/>
    </row>
    <row r="28" customFormat="false" ht="15" hidden="false" customHeight="false" outlineLevel="0" collapsed="false">
      <c r="B28" s="147"/>
      <c r="C28" s="147"/>
      <c r="D28" s="148"/>
      <c r="E28" s="148"/>
      <c r="F28" s="148"/>
      <c r="G28" s="148"/>
      <c r="H28" s="148"/>
      <c r="I28" s="148"/>
      <c r="J28" s="148"/>
      <c r="K28" s="148"/>
      <c r="L28" s="148"/>
      <c r="M28" s="149" t="str">
        <f aca="false">IF(ISBLANK(AM28),'Item-Roteiro_PONTUA'!$B$20,VLOOKUP(AM28,'Item-Roteiro_PONTUA'!$A$2:$C$86,2,0))</f>
        <v>Desenvolvimento</v>
      </c>
      <c r="N28" s="148" t="s">
        <v>10</v>
      </c>
      <c r="O28" s="149" t="str">
        <f aca="false">IF(ISBLANK(AM28),'Item-Roteiro_PONTUA'!$C$20,VLOOKUP(AM28,'Item-Roteiro_PONTUA'!$A$2:$C$86,3,0))</f>
        <v>Incluída</v>
      </c>
      <c r="P28" s="147"/>
      <c r="Q28" s="147"/>
      <c r="R28" s="147"/>
      <c r="S28" s="147"/>
      <c r="T28" s="147"/>
      <c r="U28" s="147"/>
      <c r="V28" s="147"/>
      <c r="W28" s="147"/>
      <c r="X28" s="147"/>
      <c r="Y28" s="150"/>
      <c r="Z28" s="148"/>
      <c r="AA28" s="148"/>
      <c r="AB28" s="148"/>
      <c r="AC28" s="148"/>
      <c r="AD28" s="148"/>
      <c r="AE28" s="150"/>
      <c r="AF28" s="151"/>
      <c r="AG28" s="152"/>
      <c r="AH28" s="152"/>
      <c r="AI28" s="152"/>
      <c r="AJ28" s="152"/>
      <c r="AK28" s="153"/>
      <c r="AM28" s="155"/>
      <c r="AN28" s="153"/>
      <c r="AO28" s="155"/>
    </row>
    <row r="29" customFormat="false" ht="15" hidden="false" customHeight="false" outlineLevel="0" collapsed="false">
      <c r="B29" s="147"/>
      <c r="C29" s="147"/>
      <c r="D29" s="148"/>
      <c r="E29" s="148"/>
      <c r="F29" s="148"/>
      <c r="G29" s="148"/>
      <c r="H29" s="148"/>
      <c r="I29" s="148"/>
      <c r="J29" s="148"/>
      <c r="K29" s="148"/>
      <c r="L29" s="148"/>
      <c r="M29" s="149" t="str">
        <f aca="false">IF(ISBLANK(AM29),'Item-Roteiro_PONTUA'!$B$20,VLOOKUP(AM29,'Item-Roteiro_PONTUA'!$A$2:$C$86,2,0))</f>
        <v>Desenvolvimento</v>
      </c>
      <c r="N29" s="148" t="s">
        <v>10</v>
      </c>
      <c r="O29" s="149" t="str">
        <f aca="false">IF(ISBLANK(AM29),'Item-Roteiro_PONTUA'!$C$20,VLOOKUP(AM29,'Item-Roteiro_PONTUA'!$A$2:$C$86,3,0))</f>
        <v>Incluída</v>
      </c>
      <c r="P29" s="147"/>
      <c r="Q29" s="147"/>
      <c r="R29" s="147"/>
      <c r="S29" s="147"/>
      <c r="T29" s="147"/>
      <c r="U29" s="147"/>
      <c r="V29" s="147"/>
      <c r="W29" s="147"/>
      <c r="X29" s="147"/>
      <c r="Y29" s="150"/>
      <c r="Z29" s="148"/>
      <c r="AA29" s="148"/>
      <c r="AB29" s="148"/>
      <c r="AC29" s="148"/>
      <c r="AD29" s="148"/>
      <c r="AE29" s="150"/>
      <c r="AF29" s="151"/>
      <c r="AG29" s="152"/>
      <c r="AH29" s="152"/>
      <c r="AI29" s="152"/>
      <c r="AJ29" s="152"/>
      <c r="AK29" s="153"/>
      <c r="AM29" s="155"/>
      <c r="AN29" s="153"/>
      <c r="AO29" s="155"/>
    </row>
    <row r="30" customFormat="false" ht="15" hidden="false" customHeight="false" outlineLevel="0" collapsed="false">
      <c r="B30" s="147"/>
      <c r="C30" s="147"/>
      <c r="D30" s="148"/>
      <c r="E30" s="148"/>
      <c r="F30" s="148"/>
      <c r="G30" s="148"/>
      <c r="H30" s="148"/>
      <c r="I30" s="148"/>
      <c r="J30" s="148"/>
      <c r="K30" s="148"/>
      <c r="L30" s="148"/>
      <c r="M30" s="149" t="str">
        <f aca="false">IF(ISBLANK(AM30),'Item-Roteiro_PONTUA'!$B$20,VLOOKUP(AM30,'Item-Roteiro_PONTUA'!$A$2:$C$86,2,0))</f>
        <v>Desenvolvimento</v>
      </c>
      <c r="N30" s="148" t="s">
        <v>10</v>
      </c>
      <c r="O30" s="149" t="str">
        <f aca="false">IF(ISBLANK(AM30),'Item-Roteiro_PONTUA'!$C$20,VLOOKUP(AM30,'Item-Roteiro_PONTUA'!$A$2:$C$86,3,0))</f>
        <v>Incluída</v>
      </c>
      <c r="P30" s="147"/>
      <c r="Q30" s="147"/>
      <c r="R30" s="147"/>
      <c r="S30" s="147"/>
      <c r="T30" s="147"/>
      <c r="U30" s="147"/>
      <c r="V30" s="147"/>
      <c r="W30" s="147"/>
      <c r="X30" s="147"/>
      <c r="Y30" s="150"/>
      <c r="Z30" s="148"/>
      <c r="AA30" s="148"/>
      <c r="AB30" s="148"/>
      <c r="AC30" s="148"/>
      <c r="AD30" s="148"/>
      <c r="AE30" s="150"/>
      <c r="AF30" s="151"/>
      <c r="AG30" s="152"/>
      <c r="AH30" s="152"/>
      <c r="AI30" s="152"/>
      <c r="AJ30" s="152"/>
      <c r="AK30" s="153"/>
      <c r="AM30" s="155"/>
      <c r="AN30" s="153"/>
      <c r="AO30" s="155"/>
    </row>
    <row r="31" customFormat="false" ht="15" hidden="false" customHeight="false" outlineLevel="0" collapsed="false">
      <c r="B31" s="147"/>
      <c r="C31" s="147"/>
      <c r="D31" s="148"/>
      <c r="E31" s="148"/>
      <c r="F31" s="148"/>
      <c r="G31" s="148"/>
      <c r="H31" s="148"/>
      <c r="I31" s="148"/>
      <c r="J31" s="148"/>
      <c r="K31" s="148"/>
      <c r="L31" s="148"/>
      <c r="M31" s="149" t="str">
        <f aca="false">IF(ISBLANK(AM31),'Item-Roteiro_PONTUA'!$B$20,VLOOKUP(AM31,'Item-Roteiro_PONTUA'!$A$2:$C$86,2,0))</f>
        <v>Desenvolvimento</v>
      </c>
      <c r="N31" s="148" t="s">
        <v>10</v>
      </c>
      <c r="O31" s="149" t="str">
        <f aca="false">IF(ISBLANK(AM31),'Item-Roteiro_PONTUA'!$C$20,VLOOKUP(AM31,'Item-Roteiro_PONTUA'!$A$2:$C$86,3,0))</f>
        <v>Incluída</v>
      </c>
      <c r="P31" s="147"/>
      <c r="Q31" s="147"/>
      <c r="R31" s="147"/>
      <c r="S31" s="147"/>
      <c r="T31" s="147"/>
      <c r="U31" s="147"/>
      <c r="V31" s="147"/>
      <c r="W31" s="147"/>
      <c r="X31" s="147"/>
      <c r="Y31" s="150"/>
      <c r="Z31" s="148"/>
      <c r="AA31" s="148"/>
      <c r="AB31" s="148"/>
      <c r="AC31" s="148"/>
      <c r="AD31" s="148"/>
      <c r="AE31" s="150"/>
      <c r="AF31" s="151"/>
      <c r="AG31" s="152"/>
      <c r="AH31" s="152"/>
      <c r="AI31" s="152"/>
      <c r="AJ31" s="152"/>
      <c r="AK31" s="153"/>
      <c r="AM31" s="155"/>
      <c r="AN31" s="153"/>
      <c r="AO31" s="155"/>
    </row>
    <row r="32" customFormat="false" ht="15" hidden="false" customHeight="false" outlineLevel="0" collapsed="false">
      <c r="B32" s="147"/>
      <c r="C32" s="147"/>
      <c r="D32" s="148"/>
      <c r="E32" s="148"/>
      <c r="F32" s="148"/>
      <c r="G32" s="148"/>
      <c r="H32" s="148"/>
      <c r="I32" s="148"/>
      <c r="J32" s="148"/>
      <c r="K32" s="148"/>
      <c r="L32" s="148"/>
      <c r="M32" s="149" t="str">
        <f aca="false">IF(ISBLANK(AM32),'Item-Roteiro_PONTUA'!$B$20,VLOOKUP(AM32,'Item-Roteiro_PONTUA'!$A$2:$C$86,2,0))</f>
        <v>Desenvolvimento</v>
      </c>
      <c r="N32" s="148" t="s">
        <v>10</v>
      </c>
      <c r="O32" s="149" t="str">
        <f aca="false">IF(ISBLANK(AM32),'Item-Roteiro_PONTUA'!$C$20,VLOOKUP(AM32,'Item-Roteiro_PONTUA'!$A$2:$C$86,3,0))</f>
        <v>Incluída</v>
      </c>
      <c r="P32" s="147"/>
      <c r="Q32" s="147"/>
      <c r="R32" s="147"/>
      <c r="S32" s="147"/>
      <c r="T32" s="147"/>
      <c r="U32" s="147"/>
      <c r="V32" s="147"/>
      <c r="W32" s="147"/>
      <c r="X32" s="147"/>
      <c r="Y32" s="150"/>
      <c r="Z32" s="148"/>
      <c r="AA32" s="148"/>
      <c r="AB32" s="148"/>
      <c r="AC32" s="148"/>
      <c r="AD32" s="148"/>
      <c r="AE32" s="150"/>
      <c r="AF32" s="151"/>
      <c r="AG32" s="152"/>
      <c r="AH32" s="152"/>
      <c r="AI32" s="152"/>
      <c r="AJ32" s="152"/>
      <c r="AK32" s="153"/>
      <c r="AM32" s="155"/>
      <c r="AN32" s="153"/>
      <c r="AO32" s="155"/>
    </row>
    <row r="33" customFormat="false" ht="15" hidden="false" customHeight="false" outlineLevel="0" collapsed="false">
      <c r="B33" s="147"/>
      <c r="C33" s="147"/>
      <c r="D33" s="148"/>
      <c r="E33" s="148"/>
      <c r="F33" s="148"/>
      <c r="G33" s="148"/>
      <c r="H33" s="148"/>
      <c r="I33" s="148"/>
      <c r="J33" s="148"/>
      <c r="K33" s="148"/>
      <c r="L33" s="148"/>
      <c r="M33" s="149" t="str">
        <f aca="false">IF(ISBLANK(AM33),'Item-Roteiro_PONTUA'!$B$20,VLOOKUP(AM33,'Item-Roteiro_PONTUA'!$A$2:$C$86,2,0))</f>
        <v>Desenvolvimento</v>
      </c>
      <c r="N33" s="148" t="s">
        <v>10</v>
      </c>
      <c r="O33" s="149" t="str">
        <f aca="false">IF(ISBLANK(AM33),'Item-Roteiro_PONTUA'!$C$20,VLOOKUP(AM33,'Item-Roteiro_PONTUA'!$A$2:$C$86,3,0))</f>
        <v>Incluída</v>
      </c>
      <c r="P33" s="147"/>
      <c r="Q33" s="147"/>
      <c r="R33" s="147"/>
      <c r="S33" s="147"/>
      <c r="T33" s="147"/>
      <c r="U33" s="147"/>
      <c r="V33" s="147"/>
      <c r="W33" s="147"/>
      <c r="X33" s="147"/>
      <c r="Y33" s="150"/>
      <c r="Z33" s="148"/>
      <c r="AA33" s="148"/>
      <c r="AB33" s="148"/>
      <c r="AC33" s="148"/>
      <c r="AD33" s="148"/>
      <c r="AE33" s="150"/>
      <c r="AF33" s="151"/>
      <c r="AG33" s="152"/>
      <c r="AH33" s="152"/>
      <c r="AI33" s="152"/>
      <c r="AJ33" s="152"/>
      <c r="AK33" s="153"/>
      <c r="AM33" s="155"/>
      <c r="AN33" s="153"/>
      <c r="AO33" s="155"/>
    </row>
    <row r="34" customFormat="false" ht="15" hidden="false" customHeight="false" outlineLevel="0" collapsed="false">
      <c r="B34" s="147"/>
      <c r="C34" s="147"/>
      <c r="D34" s="148"/>
      <c r="E34" s="148"/>
      <c r="F34" s="148"/>
      <c r="G34" s="148"/>
      <c r="H34" s="148"/>
      <c r="I34" s="148"/>
      <c r="J34" s="148"/>
      <c r="K34" s="148"/>
      <c r="L34" s="148"/>
      <c r="M34" s="149" t="str">
        <f aca="false">IF(ISBLANK(AM34),'Item-Roteiro_PONTUA'!$B$20,VLOOKUP(AM34,'Item-Roteiro_PONTUA'!$A$2:$C$86,2,0))</f>
        <v>Desenvolvimento</v>
      </c>
      <c r="N34" s="148" t="s">
        <v>10</v>
      </c>
      <c r="O34" s="149" t="str">
        <f aca="false">IF(ISBLANK(AM34),'Item-Roteiro_PONTUA'!$C$20,VLOOKUP(AM34,'Item-Roteiro_PONTUA'!$A$2:$C$86,3,0))</f>
        <v>Incluída</v>
      </c>
      <c r="P34" s="147"/>
      <c r="Q34" s="147"/>
      <c r="R34" s="147"/>
      <c r="S34" s="147"/>
      <c r="T34" s="147"/>
      <c r="U34" s="147"/>
      <c r="V34" s="147"/>
      <c r="W34" s="147"/>
      <c r="X34" s="147"/>
      <c r="Y34" s="150"/>
      <c r="Z34" s="148"/>
      <c r="AA34" s="148"/>
      <c r="AB34" s="148"/>
      <c r="AC34" s="148"/>
      <c r="AD34" s="148"/>
      <c r="AE34" s="150"/>
      <c r="AF34" s="151"/>
      <c r="AG34" s="152"/>
      <c r="AH34" s="152"/>
      <c r="AI34" s="152"/>
      <c r="AJ34" s="152"/>
      <c r="AK34" s="153"/>
      <c r="AM34" s="155"/>
      <c r="AN34" s="153"/>
      <c r="AO34" s="155"/>
    </row>
    <row r="35" customFormat="false" ht="15" hidden="false" customHeight="false" outlineLevel="0" collapsed="false">
      <c r="B35" s="147"/>
      <c r="C35" s="147"/>
      <c r="D35" s="148"/>
      <c r="E35" s="148"/>
      <c r="F35" s="148"/>
      <c r="G35" s="148"/>
      <c r="H35" s="148"/>
      <c r="I35" s="148"/>
      <c r="J35" s="148"/>
      <c r="K35" s="148"/>
      <c r="L35" s="148"/>
      <c r="M35" s="149" t="str">
        <f aca="false">IF(ISBLANK(AM35),'Item-Roteiro_PONTUA'!$B$20,VLOOKUP(AM35,'Item-Roteiro_PONTUA'!$A$2:$C$86,2,0))</f>
        <v>Desenvolvimento</v>
      </c>
      <c r="N35" s="148" t="s">
        <v>10</v>
      </c>
      <c r="O35" s="149" t="str">
        <f aca="false">IF(ISBLANK(AM35),'Item-Roteiro_PONTUA'!$C$20,VLOOKUP(AM35,'Item-Roteiro_PONTUA'!$A$2:$C$86,3,0))</f>
        <v>Incluída</v>
      </c>
      <c r="P35" s="147"/>
      <c r="Q35" s="147"/>
      <c r="R35" s="147"/>
      <c r="S35" s="147"/>
      <c r="T35" s="147"/>
      <c r="U35" s="147"/>
      <c r="V35" s="147"/>
      <c r="W35" s="147"/>
      <c r="X35" s="147"/>
      <c r="Y35" s="150"/>
      <c r="Z35" s="148"/>
      <c r="AA35" s="148"/>
      <c r="AB35" s="148"/>
      <c r="AC35" s="148"/>
      <c r="AD35" s="148"/>
      <c r="AE35" s="150"/>
      <c r="AF35" s="151"/>
      <c r="AG35" s="152"/>
      <c r="AH35" s="152"/>
      <c r="AI35" s="152"/>
      <c r="AJ35" s="152"/>
      <c r="AK35" s="153"/>
      <c r="AM35" s="155"/>
      <c r="AN35" s="153"/>
      <c r="AO35" s="155"/>
    </row>
    <row r="36" customFormat="false" ht="15" hidden="false" customHeight="false" outlineLevel="0" collapsed="false">
      <c r="B36" s="147"/>
      <c r="C36" s="147"/>
      <c r="D36" s="148"/>
      <c r="E36" s="148"/>
      <c r="F36" s="148"/>
      <c r="G36" s="148"/>
      <c r="H36" s="148"/>
      <c r="I36" s="148"/>
      <c r="J36" s="148"/>
      <c r="K36" s="148"/>
      <c r="L36" s="148"/>
      <c r="M36" s="149" t="str">
        <f aca="false">IF(ISBLANK(AM36),'Item-Roteiro_PONTUA'!$B$20,VLOOKUP(AM36,'Item-Roteiro_PONTUA'!$A$2:$C$86,2,0))</f>
        <v>Desenvolvimento</v>
      </c>
      <c r="N36" s="148" t="s">
        <v>10</v>
      </c>
      <c r="O36" s="149" t="str">
        <f aca="false">IF(ISBLANK(AM36),'Item-Roteiro_PONTUA'!$C$20,VLOOKUP(AM36,'Item-Roteiro_PONTUA'!$A$2:$C$86,3,0))</f>
        <v>Incluída</v>
      </c>
      <c r="P36" s="147"/>
      <c r="Q36" s="147"/>
      <c r="R36" s="147"/>
      <c r="S36" s="147"/>
      <c r="T36" s="147"/>
      <c r="U36" s="147"/>
      <c r="V36" s="147"/>
      <c r="W36" s="147"/>
      <c r="X36" s="147"/>
      <c r="Y36" s="150"/>
      <c r="Z36" s="148"/>
      <c r="AA36" s="148"/>
      <c r="AB36" s="148"/>
      <c r="AC36" s="148"/>
      <c r="AD36" s="148"/>
      <c r="AE36" s="150"/>
      <c r="AF36" s="151"/>
      <c r="AG36" s="152"/>
      <c r="AH36" s="152"/>
      <c r="AI36" s="152"/>
      <c r="AJ36" s="152"/>
      <c r="AK36" s="153"/>
      <c r="AM36" s="155"/>
      <c r="AN36" s="153"/>
      <c r="AO36" s="155"/>
    </row>
    <row r="37" customFormat="false" ht="15" hidden="false" customHeight="false" outlineLevel="0" collapsed="false">
      <c r="B37" s="147"/>
      <c r="C37" s="147"/>
      <c r="D37" s="148"/>
      <c r="E37" s="148"/>
      <c r="F37" s="148"/>
      <c r="G37" s="148"/>
      <c r="H37" s="148"/>
      <c r="I37" s="148"/>
      <c r="J37" s="148"/>
      <c r="K37" s="148"/>
      <c r="L37" s="148"/>
      <c r="M37" s="149" t="str">
        <f aca="false">IF(ISBLANK(AM37),'Item-Roteiro_PONTUA'!$B$20,VLOOKUP(AM37,'Item-Roteiro_PONTUA'!$A$2:$C$86,2,0))</f>
        <v>Desenvolvimento</v>
      </c>
      <c r="N37" s="148" t="s">
        <v>10</v>
      </c>
      <c r="O37" s="149" t="str">
        <f aca="false">IF(ISBLANK(AM37),'Item-Roteiro_PONTUA'!$C$20,VLOOKUP(AM37,'Item-Roteiro_PONTUA'!$A$2:$C$86,3,0))</f>
        <v>Incluída</v>
      </c>
      <c r="P37" s="147"/>
      <c r="Q37" s="147"/>
      <c r="R37" s="147"/>
      <c r="S37" s="147"/>
      <c r="T37" s="147"/>
      <c r="U37" s="147"/>
      <c r="V37" s="147"/>
      <c r="W37" s="147"/>
      <c r="X37" s="147"/>
      <c r="Y37" s="150"/>
      <c r="Z37" s="148"/>
      <c r="AA37" s="148"/>
      <c r="AB37" s="148"/>
      <c r="AC37" s="148"/>
      <c r="AD37" s="148"/>
      <c r="AE37" s="150"/>
      <c r="AF37" s="151"/>
      <c r="AG37" s="152"/>
      <c r="AH37" s="152"/>
      <c r="AI37" s="152"/>
      <c r="AJ37" s="152"/>
      <c r="AK37" s="153"/>
      <c r="AM37" s="155"/>
      <c r="AN37" s="153"/>
      <c r="AO37" s="155"/>
    </row>
    <row r="38" customFormat="false" ht="15" hidden="false" customHeight="false" outlineLevel="0" collapsed="false">
      <c r="B38" s="147"/>
      <c r="C38" s="147"/>
      <c r="D38" s="148"/>
      <c r="E38" s="148"/>
      <c r="F38" s="148"/>
      <c r="G38" s="148"/>
      <c r="H38" s="148"/>
      <c r="I38" s="148"/>
      <c r="J38" s="148"/>
      <c r="K38" s="148"/>
      <c r="L38" s="148" t="s">
        <v>10</v>
      </c>
      <c r="M38" s="149" t="str">
        <f aca="false">IF(ISBLANK(AM38),'Item-Roteiro_PONTUA'!$B$20,VLOOKUP(AM38,'Item-Roteiro_PONTUA'!$A$2:$C$86,2,0))</f>
        <v>Desenvolvimento</v>
      </c>
      <c r="N38" s="148" t="s">
        <v>10</v>
      </c>
      <c r="O38" s="149" t="str">
        <f aca="false">IF(ISBLANK(AM38),'Item-Roteiro_PONTUA'!$C$20,VLOOKUP(AM38,'Item-Roteiro_PONTUA'!$A$2:$C$86,3,0))</f>
        <v>Incluída</v>
      </c>
      <c r="P38" s="147"/>
      <c r="Q38" s="147"/>
      <c r="R38" s="147"/>
      <c r="S38" s="147"/>
      <c r="T38" s="147"/>
      <c r="U38" s="147"/>
      <c r="V38" s="147"/>
      <c r="W38" s="147"/>
      <c r="X38" s="147"/>
      <c r="Y38" s="150"/>
      <c r="Z38" s="148"/>
      <c r="AA38" s="148"/>
      <c r="AB38" s="148"/>
      <c r="AC38" s="148"/>
      <c r="AD38" s="148"/>
      <c r="AE38" s="150"/>
      <c r="AF38" s="151" t="str">
        <f aca="false">IF(Y38="Baixa",7,IF(Y38="Média",10,IF(Y38="Alta",15,"*")))</f>
        <v>*</v>
      </c>
      <c r="AG38" s="152"/>
      <c r="AH38" s="152"/>
      <c r="AI38" s="152"/>
      <c r="AJ38" s="152"/>
      <c r="AK38" s="153"/>
      <c r="AL38" s="1" t="s">
        <v>10</v>
      </c>
      <c r="AM38" s="154"/>
      <c r="AN38" s="153"/>
      <c r="AO38" s="154"/>
    </row>
    <row r="39" customFormat="false" ht="15" hidden="false" customHeight="false" outlineLevel="0" collapsed="false">
      <c r="D39" s="1" t="s">
        <v>10</v>
      </c>
      <c r="F39" s="1" t="s">
        <v>10</v>
      </c>
      <c r="H39" s="1" t="s">
        <v>10</v>
      </c>
      <c r="J39" s="1" t="s">
        <v>10</v>
      </c>
      <c r="L39" s="1" t="s">
        <v>10</v>
      </c>
      <c r="N39" s="1" t="s">
        <v>10</v>
      </c>
      <c r="AL39" s="1" t="s">
        <v>10</v>
      </c>
    </row>
    <row r="41" customFormat="false" ht="15" hidden="false" customHeight="false" outlineLevel="0" collapsed="false">
      <c r="C41" s="13" t="s">
        <v>10</v>
      </c>
      <c r="D41" s="1" t="s">
        <v>10</v>
      </c>
      <c r="E41" s="156" t="s">
        <v>163</v>
      </c>
      <c r="F41" s="156"/>
      <c r="G41" s="156"/>
      <c r="H41" s="157"/>
      <c r="I41" s="158" t="s">
        <v>34</v>
      </c>
      <c r="J41" s="158"/>
      <c r="K41" s="158"/>
      <c r="M41" s="159"/>
    </row>
    <row r="42" customFormat="false" ht="15" hidden="false" customHeight="false" outlineLevel="0" collapsed="false">
      <c r="B42" s="160"/>
      <c r="C42" s="160" t="s">
        <v>164</v>
      </c>
      <c r="D42" s="161"/>
      <c r="E42" s="162" t="s">
        <v>165</v>
      </c>
      <c r="F42" s="162"/>
      <c r="G42" s="162"/>
      <c r="H42" s="162"/>
      <c r="I42" s="162"/>
      <c r="J42" s="162"/>
      <c r="K42" s="162"/>
      <c r="M42" s="159"/>
    </row>
    <row r="43" customFormat="false" ht="15" hidden="false" customHeight="false" outlineLevel="0" collapsed="false">
      <c r="B43" s="163"/>
      <c r="C43" s="164" t="s">
        <v>35</v>
      </c>
      <c r="D43" s="163"/>
      <c r="E43" s="165" t="n">
        <f aca="false" t="array" ref="E43:E43">SUMPRODUCT((Y19:Y38=C43)*(LEFT(M19:M38,10)&lt;&gt;"Retrabalho"))</f>
        <v>0</v>
      </c>
      <c r="F43" s="165"/>
      <c r="G43" s="165"/>
      <c r="H43" s="166"/>
      <c r="I43" s="167" t="n">
        <f aca="false" t="array" ref="I43:I43">SUMPRODUCT((Y19:Y38=C43)*(LEFT(M19:M38,10)&lt;&gt;"Retrabalho")*NOT(ISBLANK(AE19:AE38))*AE19:AE38)</f>
        <v>0</v>
      </c>
      <c r="J43" s="167"/>
      <c r="K43" s="167"/>
      <c r="M43" s="159"/>
    </row>
    <row r="44" customFormat="false" ht="15" hidden="false" customHeight="false" outlineLevel="0" collapsed="false">
      <c r="B44" s="163"/>
      <c r="C44" s="164" t="s">
        <v>36</v>
      </c>
      <c r="D44" s="163"/>
      <c r="E44" s="165" t="n">
        <f aca="false" t="array" ref="E44:E44">SUMPRODUCT((Y19:Y38=C44)*(LEFT(M19:M38,10)&lt;&gt;"Retrabalho"))</f>
        <v>0</v>
      </c>
      <c r="F44" s="165"/>
      <c r="G44" s="165"/>
      <c r="H44" s="166"/>
      <c r="I44" s="167" t="n">
        <f aca="false" t="array" ref="I44:I44">SUMPRODUCT((Y19:Y38=C44)*(LEFT(M19:M38,10)&lt;&gt;"Retrabalho")*NOT(ISBLANK(AE19:AE38))*AE19:AE38)</f>
        <v>0</v>
      </c>
      <c r="J44" s="167"/>
      <c r="K44" s="167"/>
      <c r="M44" s="159"/>
    </row>
    <row r="45" customFormat="false" ht="15" hidden="false" customHeight="false" outlineLevel="0" collapsed="false">
      <c r="B45" s="163"/>
      <c r="C45" s="164" t="s">
        <v>37</v>
      </c>
      <c r="D45" s="163"/>
      <c r="E45" s="165" t="n">
        <f aca="false" t="array" ref="E45:E45">SUMPRODUCT((Y19:Y38=C45)*(LEFT(M19:M38,10)&lt;&gt;"Retrabalho"))</f>
        <v>0</v>
      </c>
      <c r="F45" s="165"/>
      <c r="G45" s="165"/>
      <c r="H45" s="166"/>
      <c r="I45" s="167" t="n">
        <f aca="false" t="array" ref="I45:I45">SUMPRODUCT((Y19:Y38=C45)*(LEFT(M19:M38,10)&lt;&gt;"Retrabalho")*NOT(ISBLANK(AE19:AE38))*AE19:AE38)</f>
        <v>0</v>
      </c>
      <c r="J45" s="167"/>
      <c r="K45" s="167"/>
      <c r="M45" s="159"/>
    </row>
    <row r="46" customFormat="false" ht="15" hidden="false" customHeight="false" outlineLevel="0" collapsed="false">
      <c r="C46" s="168"/>
      <c r="E46" s="159"/>
      <c r="F46" s="13"/>
      <c r="G46" s="13"/>
      <c r="H46" s="13"/>
      <c r="I46" s="13"/>
      <c r="J46" s="13"/>
      <c r="K46" s="169"/>
      <c r="M46" s="159"/>
    </row>
    <row r="47" customFormat="false" ht="15" hidden="false" customHeight="false" outlineLevel="0" collapsed="false">
      <c r="C47" s="168"/>
      <c r="E47" s="162" t="s">
        <v>41</v>
      </c>
      <c r="F47" s="162"/>
      <c r="G47" s="162"/>
      <c r="H47" s="162"/>
      <c r="I47" s="162"/>
      <c r="J47" s="162"/>
      <c r="K47" s="162"/>
      <c r="M47" s="159"/>
    </row>
    <row r="48" customFormat="false" ht="15" hidden="false" customHeight="false" outlineLevel="0" collapsed="false">
      <c r="B48" s="163"/>
      <c r="C48" s="164" t="s">
        <v>35</v>
      </c>
      <c r="D48" s="163"/>
      <c r="E48" s="165" t="n">
        <f aca="false" t="array" ref="E48:E48">SUMPRODUCT((Y19:Y38=C48)*(LEFT(M19:M38,10)="Retrabalho"))</f>
        <v>0</v>
      </c>
      <c r="F48" s="165"/>
      <c r="G48" s="165"/>
      <c r="H48" s="166"/>
      <c r="I48" s="167" t="n">
        <f aca="false" t="array" ref="I48:I48">SUMPRODUCT((Y19:Y38=C48)*(LEFT(M19:M38,10)="Retrabalho")*NOT(ISBLANK(AE19:AE38))*AE19:AE38)</f>
        <v>0</v>
      </c>
      <c r="J48" s="167"/>
      <c r="K48" s="167"/>
      <c r="M48" s="159"/>
    </row>
    <row r="49" customFormat="false" ht="15" hidden="false" customHeight="false" outlineLevel="0" collapsed="false">
      <c r="B49" s="163"/>
      <c r="C49" s="164" t="s">
        <v>36</v>
      </c>
      <c r="D49" s="163"/>
      <c r="E49" s="165" t="n">
        <f aca="false" t="array" ref="E49:E49">SUMPRODUCT((Y19:Y38=C49)*(LEFT(M19:M38,10)="Retrabalho"))</f>
        <v>0</v>
      </c>
      <c r="F49" s="165"/>
      <c r="G49" s="165"/>
      <c r="H49" s="166"/>
      <c r="I49" s="167" t="n">
        <f aca="false" t="array" ref="I49:I49">SUMPRODUCT((Y19:Y38=C49)*(LEFT(M19:M38,10)="Retrabalho")*NOT(ISBLANK(AE19:AE38))*AE19:AE38)</f>
        <v>0</v>
      </c>
      <c r="J49" s="167"/>
      <c r="K49" s="167"/>
      <c r="M49" s="159"/>
    </row>
    <row r="50" customFormat="false" ht="15" hidden="false" customHeight="false" outlineLevel="0" collapsed="false">
      <c r="B50" s="163"/>
      <c r="C50" s="164" t="s">
        <v>37</v>
      </c>
      <c r="D50" s="163"/>
      <c r="E50" s="165" t="n">
        <f aca="false" t="array" ref="E50:E50">SUMPRODUCT((Y19:Y38=C50)*(LEFT(M19:M38,10)="Retrabalho"))</f>
        <v>0</v>
      </c>
      <c r="F50" s="165"/>
      <c r="G50" s="165"/>
      <c r="H50" s="166"/>
      <c r="I50" s="167" t="n">
        <f aca="false" t="array" ref="I50:I50">SUMPRODUCT((Y19:Y38=C50)*(LEFT(M19:M38,10)="Retrabalho")*NOT(ISBLANK(AE19:AE38))*AE19:AE38)</f>
        <v>0</v>
      </c>
      <c r="J50" s="167"/>
      <c r="K50" s="167"/>
      <c r="M50" s="159"/>
    </row>
    <row r="51" customFormat="false" ht="15" hidden="false" customHeight="false" outlineLevel="0" collapsed="false">
      <c r="C51" s="168"/>
      <c r="E51" s="159"/>
      <c r="F51" s="13"/>
      <c r="G51" s="13"/>
      <c r="H51" s="13"/>
      <c r="I51" s="13"/>
      <c r="J51" s="13"/>
      <c r="K51" s="169"/>
      <c r="M51" s="159"/>
    </row>
    <row r="52" customFormat="false" ht="15" hidden="false" customHeight="false" outlineLevel="0" collapsed="false">
      <c r="C52" s="168"/>
      <c r="E52" s="162" t="s">
        <v>166</v>
      </c>
      <c r="F52" s="162"/>
      <c r="G52" s="162"/>
      <c r="H52" s="162"/>
      <c r="I52" s="162"/>
      <c r="J52" s="162"/>
      <c r="K52" s="162"/>
      <c r="M52" s="159"/>
    </row>
    <row r="53" customFormat="false" ht="15" hidden="false" customHeight="false" outlineLevel="0" collapsed="false">
      <c r="B53" s="163"/>
      <c r="C53" s="164" t="s">
        <v>35</v>
      </c>
      <c r="D53" s="163"/>
      <c r="E53" s="165" t="n">
        <f aca="false">E43+E48</f>
        <v>0</v>
      </c>
      <c r="F53" s="165"/>
      <c r="G53" s="165"/>
      <c r="H53" s="166"/>
      <c r="I53" s="167" t="n">
        <f aca="false">I43+I48</f>
        <v>0</v>
      </c>
      <c r="J53" s="167"/>
      <c r="K53" s="167"/>
      <c r="M53" s="159"/>
    </row>
    <row r="54" customFormat="false" ht="15" hidden="false" customHeight="false" outlineLevel="0" collapsed="false">
      <c r="B54" s="163"/>
      <c r="C54" s="164" t="s">
        <v>36</v>
      </c>
      <c r="D54" s="163"/>
      <c r="E54" s="165" t="n">
        <f aca="false">E44+E49</f>
        <v>0</v>
      </c>
      <c r="F54" s="165"/>
      <c r="G54" s="165"/>
      <c r="H54" s="166"/>
      <c r="I54" s="167" t="n">
        <f aca="false">I44+I49</f>
        <v>0</v>
      </c>
      <c r="J54" s="167"/>
      <c r="K54" s="167"/>
      <c r="M54" s="159"/>
    </row>
    <row r="55" customFormat="false" ht="15" hidden="false" customHeight="false" outlineLevel="0" collapsed="false">
      <c r="B55" s="163"/>
      <c r="C55" s="164" t="s">
        <v>37</v>
      </c>
      <c r="D55" s="163"/>
      <c r="E55" s="165" t="n">
        <f aca="false">E45+E50</f>
        <v>0</v>
      </c>
      <c r="F55" s="165"/>
      <c r="G55" s="165"/>
      <c r="H55" s="166"/>
      <c r="I55" s="167" t="n">
        <f aca="false">I45+I50</f>
        <v>0</v>
      </c>
      <c r="J55" s="167"/>
      <c r="K55" s="167"/>
      <c r="M55" s="159"/>
    </row>
    <row r="56" customFormat="false" ht="15" hidden="false" customHeight="false" outlineLevel="0" collapsed="false">
      <c r="C56" s="13"/>
      <c r="E56" s="170" t="n">
        <f aca="false">E53+E54+E55</f>
        <v>0</v>
      </c>
      <c r="F56" s="170"/>
      <c r="G56" s="170"/>
      <c r="H56" s="171"/>
      <c r="I56" s="172" t="n">
        <f aca="false">I53+I54+I55</f>
        <v>0</v>
      </c>
      <c r="J56" s="172"/>
      <c r="K56" s="172"/>
      <c r="M56" s="159"/>
    </row>
  </sheetData>
  <mergeCells count="52">
    <mergeCell ref="E2:AK2"/>
    <mergeCell ref="B9:AK9"/>
    <mergeCell ref="B12:AK12"/>
    <mergeCell ref="B13:AK13"/>
    <mergeCell ref="B14:AK14"/>
    <mergeCell ref="B15:AK15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E41:G41"/>
    <mergeCell ref="I41:K41"/>
    <mergeCell ref="E42:K42"/>
    <mergeCell ref="E43:G43"/>
    <mergeCell ref="I43:K43"/>
    <mergeCell ref="E44:G44"/>
    <mergeCell ref="I44:K44"/>
    <mergeCell ref="E45:G45"/>
    <mergeCell ref="I45:K45"/>
    <mergeCell ref="E47:K47"/>
    <mergeCell ref="E48:G48"/>
    <mergeCell ref="I48:K48"/>
    <mergeCell ref="E49:G49"/>
    <mergeCell ref="I49:K49"/>
    <mergeCell ref="E50:G50"/>
    <mergeCell ref="I50:K50"/>
    <mergeCell ref="E52:K52"/>
    <mergeCell ref="E53:G53"/>
    <mergeCell ref="I53:K53"/>
    <mergeCell ref="E54:G54"/>
    <mergeCell ref="I54:K54"/>
    <mergeCell ref="E55:G55"/>
    <mergeCell ref="I55:K55"/>
    <mergeCell ref="E56:G56"/>
    <mergeCell ref="I56:K56"/>
  </mergeCells>
  <dataValidations count="3">
    <dataValidation allowBlank="true" operator="between" showDropDown="false" showErrorMessage="true" showInputMessage="true" sqref="AM19:AM38 AO19:AO38" type="list">
      <formula1>Validar!$I$2</formula1>
      <formula2>0</formula2>
    </dataValidation>
    <dataValidation allowBlank="true" operator="between" showDropDown="false" showErrorMessage="true" showInputMessage="true" sqref="M19:M38" type="list">
      <formula1>Validar!$G$17:$G$51</formula1>
      <formula2>0</formula2>
    </dataValidation>
    <dataValidation allowBlank="true" operator="between" showDropDown="false" showErrorMessage="true" showInputMessage="true" sqref="O19:O38" type="list">
      <formula1>Validar!$G$2:$G$11</formula1>
      <formula2>0</formula2>
    </dataValidation>
  </dataValidations>
  <hyperlinks>
    <hyperlink ref="B15" r:id="rId1" display="https://gitcorporativo.serpro/supde/SUPDE-EMPF/wikis/home 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A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.29"/>
    <col collapsed="false" customWidth="true" hidden="false" outlineLevel="0" max="2" min="2" style="1" width="25.71"/>
    <col collapsed="false" customWidth="true" hidden="false" outlineLevel="0" max="3" min="3" style="1" width="7.71"/>
    <col collapsed="false" customWidth="true" hidden="true" outlineLevel="0" max="4" min="4" style="1" width="11.57"/>
    <col collapsed="false" customWidth="true" hidden="false" outlineLevel="0" max="5" min="5" style="1" width="4.29"/>
    <col collapsed="false" customWidth="true" hidden="true" outlineLevel="0" max="6" min="6" style="1" width="11.57"/>
    <col collapsed="false" customWidth="true" hidden="false" outlineLevel="0" max="7" min="7" style="1" width="10.71"/>
    <col collapsed="false" customWidth="true" hidden="true" outlineLevel="0" max="8" min="8" style="1" width="11.57"/>
    <col collapsed="false" customWidth="true" hidden="false" outlineLevel="0" max="9" min="9" style="1" width="4.86"/>
    <col collapsed="false" customWidth="true" hidden="true" outlineLevel="0" max="10" min="10" style="1" width="11.57"/>
    <col collapsed="false" customWidth="true" hidden="false" outlineLevel="0" max="11" min="11" style="1" width="11.14"/>
    <col collapsed="false" customWidth="true" hidden="true" outlineLevel="0" max="12" min="12" style="1" width="11.57"/>
    <col collapsed="false" customWidth="true" hidden="false" outlineLevel="0" max="13" min="13" style="1" width="25.71"/>
    <col collapsed="false" customWidth="true" hidden="true" outlineLevel="0" max="14" min="14" style="1" width="11.57"/>
    <col collapsed="false" customWidth="true" hidden="false" outlineLevel="0" max="15" min="15" style="1" width="12.71"/>
    <col collapsed="false" customWidth="true" hidden="true" outlineLevel="0" max="24" min="16" style="1" width="11.57"/>
    <col collapsed="false" customWidth="true" hidden="false" outlineLevel="0" max="25" min="25" style="1" width="8.71"/>
    <col collapsed="false" customWidth="true" hidden="true" outlineLevel="0" max="30" min="26" style="1" width="11.57"/>
    <col collapsed="false" customWidth="true" hidden="false" outlineLevel="0" max="31" min="31" style="1" width="7.71"/>
    <col collapsed="false" customWidth="false" hidden="true" outlineLevel="0" max="36" min="32" style="1" width="9.14"/>
    <col collapsed="false" customWidth="true" hidden="false" outlineLevel="0" max="37" min="37" style="1" width="34.71"/>
    <col collapsed="false" customWidth="true" hidden="true" outlineLevel="0" max="38" min="38" style="1" width="5.01"/>
    <col collapsed="false" customWidth="true" hidden="true" outlineLevel="0" max="39" min="39" style="127" width="4.29"/>
    <col collapsed="false" customWidth="true" hidden="false" outlineLevel="0" max="40" min="40" style="1" width="24.42"/>
    <col collapsed="false" customWidth="false" hidden="false" outlineLevel="0" max="1024" min="41" style="1" width="9.14"/>
  </cols>
  <sheetData>
    <row r="2" customFormat="false" ht="15" hidden="false" customHeight="false" outlineLevel="0" collapsed="false">
      <c r="B2" s="4" t="s">
        <v>144</v>
      </c>
      <c r="E2" s="128" t="s">
        <v>167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customFormat="false" ht="15" hidden="true" customHeight="false" outlineLevel="0" collapsed="false">
      <c r="B3" s="4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</row>
    <row r="4" customFormat="false" ht="15" hidden="true" customHeight="false" outlineLevel="0" collapsed="false">
      <c r="B4" s="4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</row>
    <row r="5" customFormat="false" ht="15" hidden="true" customHeight="false" outlineLevel="0" collapsed="false">
      <c r="B5" s="4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</row>
    <row r="6" customFormat="false" ht="15" hidden="true" customHeight="false" outlineLevel="0" collapsed="false">
      <c r="B6" s="4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</row>
    <row r="7" customFormat="false" ht="15" hidden="true" customHeight="false" outlineLevel="0" collapsed="false">
      <c r="B7" s="4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</row>
    <row r="9" customFormat="false" ht="15.75" hidden="false" customHeight="false" outlineLevel="0" collapsed="false">
      <c r="B9" s="130" t="s">
        <v>168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</row>
    <row r="10" customFormat="false" ht="15" hidden="true" customHeight="false" outlineLevel="0" collapsed="false"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</row>
    <row r="11" customFormat="false" ht="15" hidden="true" customHeight="false" outlineLevel="0" collapsed="false">
      <c r="B11" s="132" t="s">
        <v>146</v>
      </c>
      <c r="C11" s="133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</row>
    <row r="12" customFormat="false" ht="39" hidden="true" customHeight="true" outlineLevel="0" collapsed="false">
      <c r="B12" s="134" t="str">
        <f aca="false">ALI!B12</f>
        <v>Evite editar os dados apresentados, cadastrar novas funcionalidades e/ou alterar seus dados. Esta planilha não realiza cálculos nas funções. Os dados da função foram exportados do Pontua, inclusive a Complexidade e o PF. O valor do PF foi calculado conforme Roteiro de Métricas informado na Contagem cadastrada na aplicação. Do Item de Roteiro é feita a equivalência para Tipo de Demanda e Classificação.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</row>
    <row r="13" customFormat="false" ht="19.5" hidden="true" customHeight="true" outlineLevel="0" collapsed="false">
      <c r="B13" s="135" t="str">
        <f aca="false">ALI!B13</f>
        <v>¹ Em caso de cópia de Tipo de Demanda e/ou Classificação – colar o conteúdo em modo texto puro pois as células possuem fórmulas (menu “Editar” - “Colar Especial...” - “Texto”)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</row>
    <row r="14" customFormat="false" ht="21" hidden="true" customHeight="true" outlineLevel="0" collapsed="false">
      <c r="B14" s="135" t="str">
        <f aca="false">ALI!B14</f>
        <v>Caso seja necessário transfira o conteúdo para a planilha do respectivo cliente. As planilhas podem ser obtidas na página do Escritório de Métricas: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</row>
    <row r="15" customFormat="false" ht="21.75" hidden="true" customHeight="true" outlineLevel="0" collapsed="false">
      <c r="B15" s="173" t="str">
        <f aca="false">ALI!B15</f>
        <v>https://gitcorporativo.serpro/supde/SUPDE-EMPF/wikis/home 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</row>
    <row r="16" customFormat="false" ht="15.75" hidden="false" customHeight="false" outlineLevel="0" collapsed="false"/>
    <row r="17" customFormat="false" ht="45" hidden="false" customHeight="true" outlineLevel="0" collapsed="false">
      <c r="B17" s="174" t="s">
        <v>169</v>
      </c>
      <c r="C17" s="174"/>
      <c r="D17" s="175"/>
      <c r="E17" s="176" t="s">
        <v>152</v>
      </c>
      <c r="F17" s="177"/>
      <c r="G17" s="140" t="s">
        <v>153</v>
      </c>
      <c r="H17" s="177"/>
      <c r="I17" s="176" t="s">
        <v>154</v>
      </c>
      <c r="J17" s="177"/>
      <c r="K17" s="140" t="s">
        <v>155</v>
      </c>
      <c r="L17" s="178"/>
      <c r="M17" s="179" t="s">
        <v>156</v>
      </c>
      <c r="N17" s="178"/>
      <c r="O17" s="179" t="s">
        <v>157</v>
      </c>
      <c r="P17" s="178"/>
      <c r="Q17" s="178"/>
      <c r="R17" s="178"/>
      <c r="S17" s="178"/>
      <c r="T17" s="178"/>
      <c r="U17" s="178"/>
      <c r="V17" s="178"/>
      <c r="W17" s="178"/>
      <c r="X17" s="178"/>
      <c r="Y17" s="179" t="s">
        <v>158</v>
      </c>
      <c r="Z17" s="178"/>
      <c r="AA17" s="178"/>
      <c r="AB17" s="178"/>
      <c r="AC17" s="178"/>
      <c r="AD17" s="178"/>
      <c r="AE17" s="179" t="s">
        <v>159</v>
      </c>
      <c r="AF17" s="178" t="s">
        <v>160</v>
      </c>
      <c r="AG17" s="178"/>
      <c r="AH17" s="178"/>
      <c r="AI17" s="178"/>
      <c r="AJ17" s="178"/>
      <c r="AK17" s="140" t="s">
        <v>161</v>
      </c>
      <c r="AL17" s="180"/>
      <c r="AM17" s="145"/>
      <c r="AN17" s="140" t="s">
        <v>162</v>
      </c>
      <c r="AO17" s="181"/>
    </row>
    <row r="18" customFormat="false" ht="15.75" hidden="false" customHeight="false" outlineLevel="0" collapsed="false"/>
    <row r="19" customFormat="false" ht="15" hidden="false" customHeight="false" outlineLevel="0" collapsed="false">
      <c r="B19" s="147"/>
      <c r="C19" s="147"/>
      <c r="D19" s="148"/>
      <c r="E19" s="148"/>
      <c r="F19" s="148"/>
      <c r="G19" s="148"/>
      <c r="H19" s="148"/>
      <c r="I19" s="148"/>
      <c r="J19" s="148"/>
      <c r="K19" s="148"/>
      <c r="L19" s="148" t="s">
        <v>10</v>
      </c>
      <c r="M19" s="149" t="str">
        <f aca="false">IF(ISBLANK(AM19),'Item-Roteiro_PONTUA'!$B$20,VLOOKUP(AM19,'Item-Roteiro_PONTUA'!$A$2:$C$86,2,0))</f>
        <v>Desenvolvimento</v>
      </c>
      <c r="N19" s="148" t="s">
        <v>10</v>
      </c>
      <c r="O19" s="149" t="str">
        <f aca="false">IF(ISBLANK(AM19),'Item-Roteiro_PONTUA'!$C$20,VLOOKUP(AM19,'Item-Roteiro_PONTUA'!$A$2:$C$86,3,0))</f>
        <v>Incluída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50"/>
      <c r="Z19" s="148"/>
      <c r="AA19" s="148"/>
      <c r="AB19" s="148"/>
      <c r="AC19" s="148"/>
      <c r="AD19" s="148"/>
      <c r="AE19" s="150"/>
      <c r="AF19" s="151" t="str">
        <f aca="false">IF(Y19="Baixa",7,IF(Y19="Média",10,IF(Y19="Alta",15,"*")))</f>
        <v>*</v>
      </c>
      <c r="AG19" s="152"/>
      <c r="AH19" s="152"/>
      <c r="AI19" s="152"/>
      <c r="AJ19" s="152"/>
      <c r="AK19" s="153"/>
      <c r="AL19" s="1" t="s">
        <v>10</v>
      </c>
      <c r="AM19" s="154"/>
      <c r="AN19" s="153"/>
      <c r="AO19" s="154"/>
    </row>
    <row r="20" customFormat="false" ht="15" hidden="false" customHeight="false" outlineLevel="0" collapsed="false">
      <c r="B20" s="147"/>
      <c r="C20" s="147"/>
      <c r="D20" s="148"/>
      <c r="E20" s="148"/>
      <c r="F20" s="148"/>
      <c r="G20" s="148"/>
      <c r="H20" s="148"/>
      <c r="I20" s="148"/>
      <c r="J20" s="148"/>
      <c r="K20" s="148"/>
      <c r="L20" s="148"/>
      <c r="M20" s="149" t="str">
        <f aca="false">IF(ISBLANK(AM20),'Item-Roteiro_PONTUA'!$B$20,VLOOKUP(AM20,'Item-Roteiro_PONTUA'!$A$2:$C$86,2,0))</f>
        <v>Desenvolvimento</v>
      </c>
      <c r="N20" s="148" t="s">
        <v>10</v>
      </c>
      <c r="O20" s="149" t="str">
        <f aca="false">IF(ISBLANK(AM20),'Item-Roteiro_PONTUA'!$C$20,VLOOKUP(AM20,'Item-Roteiro_PONTUA'!$A$2:$C$86,3,0))</f>
        <v>Incluída</v>
      </c>
      <c r="P20" s="147"/>
      <c r="Q20" s="147"/>
      <c r="R20" s="147"/>
      <c r="S20" s="147"/>
      <c r="T20" s="147"/>
      <c r="U20" s="147"/>
      <c r="V20" s="147"/>
      <c r="W20" s="147"/>
      <c r="X20" s="147"/>
      <c r="Y20" s="150"/>
      <c r="Z20" s="148"/>
      <c r="AA20" s="148"/>
      <c r="AB20" s="148"/>
      <c r="AC20" s="148"/>
      <c r="AD20" s="148"/>
      <c r="AE20" s="150"/>
      <c r="AF20" s="151"/>
      <c r="AG20" s="152"/>
      <c r="AH20" s="152"/>
      <c r="AI20" s="152"/>
      <c r="AJ20" s="152"/>
      <c r="AK20" s="153"/>
      <c r="AM20" s="155"/>
      <c r="AN20" s="153"/>
      <c r="AO20" s="155"/>
    </row>
    <row r="21" customFormat="false" ht="15" hidden="false" customHeight="false" outlineLevel="0" collapsed="false">
      <c r="B21" s="147"/>
      <c r="C21" s="147"/>
      <c r="D21" s="148"/>
      <c r="E21" s="148"/>
      <c r="F21" s="148"/>
      <c r="G21" s="148"/>
      <c r="H21" s="148"/>
      <c r="I21" s="148"/>
      <c r="J21" s="148"/>
      <c r="K21" s="148"/>
      <c r="L21" s="148"/>
      <c r="M21" s="149" t="str">
        <f aca="false">IF(ISBLANK(AM21),'Item-Roteiro_PONTUA'!$B$20,VLOOKUP(AM21,'Item-Roteiro_PONTUA'!$A$2:$C$86,2,0))</f>
        <v>Desenvolvimento</v>
      </c>
      <c r="N21" s="148" t="s">
        <v>10</v>
      </c>
      <c r="O21" s="149" t="str">
        <f aca="false">IF(ISBLANK(AM21),'Item-Roteiro_PONTUA'!$C$20,VLOOKUP(AM21,'Item-Roteiro_PONTUA'!$A$2:$C$86,3,0))</f>
        <v>Incluída</v>
      </c>
      <c r="P21" s="147"/>
      <c r="Q21" s="147"/>
      <c r="R21" s="147"/>
      <c r="S21" s="147"/>
      <c r="T21" s="147"/>
      <c r="U21" s="147"/>
      <c r="V21" s="147"/>
      <c r="W21" s="147"/>
      <c r="X21" s="147"/>
      <c r="Y21" s="150"/>
      <c r="Z21" s="148"/>
      <c r="AA21" s="148"/>
      <c r="AB21" s="148"/>
      <c r="AC21" s="148"/>
      <c r="AD21" s="148"/>
      <c r="AE21" s="150"/>
      <c r="AF21" s="151"/>
      <c r="AG21" s="152"/>
      <c r="AH21" s="152"/>
      <c r="AI21" s="152"/>
      <c r="AJ21" s="152"/>
      <c r="AK21" s="153"/>
      <c r="AM21" s="155"/>
      <c r="AN21" s="153"/>
      <c r="AO21" s="155"/>
    </row>
    <row r="22" customFormat="false" ht="15" hidden="false" customHeight="false" outlineLevel="0" collapsed="false">
      <c r="B22" s="147"/>
      <c r="C22" s="147"/>
      <c r="D22" s="148"/>
      <c r="E22" s="148"/>
      <c r="F22" s="148"/>
      <c r="G22" s="148"/>
      <c r="H22" s="148"/>
      <c r="I22" s="148"/>
      <c r="J22" s="148"/>
      <c r="K22" s="148"/>
      <c r="L22" s="148"/>
      <c r="M22" s="149" t="str">
        <f aca="false">IF(ISBLANK(AM22),'Item-Roteiro_PONTUA'!$B$20,VLOOKUP(AM22,'Item-Roteiro_PONTUA'!$A$2:$C$86,2,0))</f>
        <v>Desenvolvimento</v>
      </c>
      <c r="N22" s="148" t="s">
        <v>10</v>
      </c>
      <c r="O22" s="149" t="str">
        <f aca="false">IF(ISBLANK(AM22),'Item-Roteiro_PONTUA'!$C$20,VLOOKUP(AM22,'Item-Roteiro_PONTUA'!$A$2:$C$86,3,0))</f>
        <v>Incluída</v>
      </c>
      <c r="P22" s="147"/>
      <c r="Q22" s="147"/>
      <c r="R22" s="147"/>
      <c r="S22" s="147"/>
      <c r="T22" s="147"/>
      <c r="U22" s="147"/>
      <c r="V22" s="147"/>
      <c r="W22" s="147"/>
      <c r="X22" s="147"/>
      <c r="Y22" s="150"/>
      <c r="Z22" s="148"/>
      <c r="AA22" s="148"/>
      <c r="AB22" s="148"/>
      <c r="AC22" s="148"/>
      <c r="AD22" s="148"/>
      <c r="AE22" s="150"/>
      <c r="AF22" s="151"/>
      <c r="AG22" s="152"/>
      <c r="AH22" s="152"/>
      <c r="AI22" s="152"/>
      <c r="AJ22" s="152"/>
      <c r="AK22" s="153"/>
      <c r="AM22" s="155"/>
      <c r="AN22" s="153"/>
      <c r="AO22" s="155"/>
    </row>
    <row r="23" customFormat="false" ht="15" hidden="false" customHeight="false" outlineLevel="0" collapsed="false">
      <c r="B23" s="147"/>
      <c r="C23" s="147"/>
      <c r="D23" s="148"/>
      <c r="E23" s="148"/>
      <c r="F23" s="148"/>
      <c r="G23" s="148"/>
      <c r="H23" s="148"/>
      <c r="I23" s="148"/>
      <c r="J23" s="148"/>
      <c r="K23" s="148"/>
      <c r="L23" s="148"/>
      <c r="M23" s="149" t="str">
        <f aca="false">IF(ISBLANK(AM23),'Item-Roteiro_PONTUA'!$B$20,VLOOKUP(AM23,'Item-Roteiro_PONTUA'!$A$2:$C$86,2,0))</f>
        <v>Desenvolvimento</v>
      </c>
      <c r="N23" s="148" t="s">
        <v>10</v>
      </c>
      <c r="O23" s="149" t="str">
        <f aca="false">IF(ISBLANK(AM23),'Item-Roteiro_PONTUA'!$C$20,VLOOKUP(AM23,'Item-Roteiro_PONTUA'!$A$2:$C$86,3,0))</f>
        <v>Incluída</v>
      </c>
      <c r="P23" s="147"/>
      <c r="Q23" s="147"/>
      <c r="R23" s="147"/>
      <c r="S23" s="147"/>
      <c r="T23" s="147"/>
      <c r="U23" s="147"/>
      <c r="V23" s="147"/>
      <c r="W23" s="147"/>
      <c r="X23" s="147"/>
      <c r="Y23" s="150"/>
      <c r="Z23" s="148"/>
      <c r="AA23" s="148"/>
      <c r="AB23" s="148"/>
      <c r="AC23" s="148"/>
      <c r="AD23" s="148"/>
      <c r="AE23" s="150"/>
      <c r="AF23" s="151"/>
      <c r="AG23" s="152"/>
      <c r="AH23" s="152"/>
      <c r="AI23" s="152"/>
      <c r="AJ23" s="152"/>
      <c r="AK23" s="153"/>
      <c r="AM23" s="155"/>
      <c r="AN23" s="153"/>
      <c r="AO23" s="155"/>
    </row>
    <row r="24" customFormat="false" ht="15" hidden="false" customHeight="false" outlineLevel="0" collapsed="false">
      <c r="B24" s="147"/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9" t="str">
        <f aca="false">IF(ISBLANK(AM24),'Item-Roteiro_PONTUA'!$B$20,VLOOKUP(AM24,'Item-Roteiro_PONTUA'!$A$2:$C$86,2,0))</f>
        <v>Desenvolvimento</v>
      </c>
      <c r="N24" s="148" t="s">
        <v>10</v>
      </c>
      <c r="O24" s="149" t="str">
        <f aca="false">IF(ISBLANK(AM24),'Item-Roteiro_PONTUA'!$C$20,VLOOKUP(AM24,'Item-Roteiro_PONTUA'!$A$2:$C$86,3,0))</f>
        <v>Incluída</v>
      </c>
      <c r="P24" s="147"/>
      <c r="Q24" s="147"/>
      <c r="R24" s="147"/>
      <c r="S24" s="147"/>
      <c r="T24" s="147"/>
      <c r="U24" s="147"/>
      <c r="V24" s="147"/>
      <c r="W24" s="147"/>
      <c r="X24" s="147"/>
      <c r="Y24" s="150"/>
      <c r="Z24" s="148"/>
      <c r="AA24" s="148"/>
      <c r="AB24" s="148"/>
      <c r="AC24" s="148"/>
      <c r="AD24" s="148"/>
      <c r="AE24" s="150"/>
      <c r="AF24" s="151"/>
      <c r="AG24" s="152"/>
      <c r="AH24" s="152"/>
      <c r="AI24" s="152"/>
      <c r="AJ24" s="152"/>
      <c r="AK24" s="153"/>
      <c r="AM24" s="155"/>
      <c r="AN24" s="153"/>
      <c r="AO24" s="155"/>
    </row>
    <row r="25" customFormat="false" ht="15" hidden="false" customHeight="false" outlineLevel="0" collapsed="false">
      <c r="B25" s="147"/>
      <c r="C25" s="147"/>
      <c r="D25" s="148"/>
      <c r="E25" s="148"/>
      <c r="F25" s="148"/>
      <c r="G25" s="148"/>
      <c r="H25" s="148"/>
      <c r="I25" s="148"/>
      <c r="J25" s="148"/>
      <c r="K25" s="148"/>
      <c r="L25" s="148"/>
      <c r="M25" s="149" t="str">
        <f aca="false">IF(ISBLANK(AM25),'Item-Roteiro_PONTUA'!$B$20,VLOOKUP(AM25,'Item-Roteiro_PONTUA'!$A$2:$C$86,2,0))</f>
        <v>Desenvolvimento</v>
      </c>
      <c r="N25" s="148" t="s">
        <v>10</v>
      </c>
      <c r="O25" s="149" t="str">
        <f aca="false">IF(ISBLANK(AM25),'Item-Roteiro_PONTUA'!$C$20,VLOOKUP(AM25,'Item-Roteiro_PONTUA'!$A$2:$C$86,3,0))</f>
        <v>Incluída</v>
      </c>
      <c r="P25" s="147"/>
      <c r="Q25" s="147"/>
      <c r="R25" s="147"/>
      <c r="S25" s="147"/>
      <c r="T25" s="147"/>
      <c r="U25" s="147"/>
      <c r="V25" s="147"/>
      <c r="W25" s="147"/>
      <c r="X25" s="147"/>
      <c r="Y25" s="150"/>
      <c r="Z25" s="148"/>
      <c r="AA25" s="148"/>
      <c r="AB25" s="148"/>
      <c r="AC25" s="148"/>
      <c r="AD25" s="148"/>
      <c r="AE25" s="150"/>
      <c r="AF25" s="151"/>
      <c r="AG25" s="152"/>
      <c r="AH25" s="152"/>
      <c r="AI25" s="152"/>
      <c r="AJ25" s="152"/>
      <c r="AK25" s="153"/>
      <c r="AM25" s="155"/>
      <c r="AN25" s="153"/>
      <c r="AO25" s="155"/>
    </row>
    <row r="26" customFormat="false" ht="15" hidden="false" customHeight="false" outlineLevel="0" collapsed="false">
      <c r="B26" s="147"/>
      <c r="C26" s="147"/>
      <c r="D26" s="148"/>
      <c r="E26" s="148"/>
      <c r="F26" s="148"/>
      <c r="G26" s="148"/>
      <c r="H26" s="148"/>
      <c r="I26" s="148"/>
      <c r="J26" s="148"/>
      <c r="K26" s="148"/>
      <c r="L26" s="148"/>
      <c r="M26" s="149" t="str">
        <f aca="false">IF(ISBLANK(AM26),'Item-Roteiro_PONTUA'!$B$20,VLOOKUP(AM26,'Item-Roteiro_PONTUA'!$A$2:$C$86,2,0))</f>
        <v>Desenvolvimento</v>
      </c>
      <c r="N26" s="148" t="s">
        <v>10</v>
      </c>
      <c r="O26" s="149" t="str">
        <f aca="false">IF(ISBLANK(AM26),'Item-Roteiro_PONTUA'!$C$20,VLOOKUP(AM26,'Item-Roteiro_PONTUA'!$A$2:$C$86,3,0))</f>
        <v>Incluída</v>
      </c>
      <c r="P26" s="147"/>
      <c r="Q26" s="147"/>
      <c r="R26" s="147"/>
      <c r="S26" s="147"/>
      <c r="T26" s="147"/>
      <c r="U26" s="147"/>
      <c r="V26" s="147"/>
      <c r="W26" s="147"/>
      <c r="X26" s="147"/>
      <c r="Y26" s="150"/>
      <c r="Z26" s="148"/>
      <c r="AA26" s="148"/>
      <c r="AB26" s="148"/>
      <c r="AC26" s="148"/>
      <c r="AD26" s="148"/>
      <c r="AE26" s="150"/>
      <c r="AF26" s="151"/>
      <c r="AG26" s="152"/>
      <c r="AH26" s="152"/>
      <c r="AI26" s="152"/>
      <c r="AJ26" s="152"/>
      <c r="AK26" s="153"/>
      <c r="AM26" s="155"/>
      <c r="AN26" s="153"/>
      <c r="AO26" s="155"/>
    </row>
    <row r="27" customFormat="false" ht="15" hidden="false" customHeight="false" outlineLevel="0" collapsed="false">
      <c r="B27" s="147"/>
      <c r="C27" s="147"/>
      <c r="D27" s="148"/>
      <c r="E27" s="148"/>
      <c r="F27" s="148"/>
      <c r="G27" s="148"/>
      <c r="H27" s="148"/>
      <c r="I27" s="148"/>
      <c r="J27" s="148"/>
      <c r="K27" s="148"/>
      <c r="L27" s="148"/>
      <c r="M27" s="149" t="str">
        <f aca="false">IF(ISBLANK(AM27),'Item-Roteiro_PONTUA'!$B$20,VLOOKUP(AM27,'Item-Roteiro_PONTUA'!$A$2:$C$86,2,0))</f>
        <v>Desenvolvimento</v>
      </c>
      <c r="N27" s="148" t="s">
        <v>10</v>
      </c>
      <c r="O27" s="149" t="str">
        <f aca="false">IF(ISBLANK(AM27),'Item-Roteiro_PONTUA'!$C$20,VLOOKUP(AM27,'Item-Roteiro_PONTUA'!$A$2:$C$86,3,0))</f>
        <v>Incluída</v>
      </c>
      <c r="P27" s="147"/>
      <c r="Q27" s="147"/>
      <c r="R27" s="147"/>
      <c r="S27" s="147"/>
      <c r="T27" s="147"/>
      <c r="U27" s="147"/>
      <c r="V27" s="147"/>
      <c r="W27" s="147"/>
      <c r="X27" s="147"/>
      <c r="Y27" s="150"/>
      <c r="Z27" s="148"/>
      <c r="AA27" s="148"/>
      <c r="AB27" s="148"/>
      <c r="AC27" s="148"/>
      <c r="AD27" s="148"/>
      <c r="AE27" s="150"/>
      <c r="AF27" s="151"/>
      <c r="AG27" s="152"/>
      <c r="AH27" s="152"/>
      <c r="AI27" s="152"/>
      <c r="AJ27" s="152"/>
      <c r="AK27" s="153"/>
      <c r="AM27" s="155"/>
      <c r="AN27" s="153"/>
      <c r="AO27" s="155"/>
    </row>
    <row r="28" customFormat="false" ht="15" hidden="false" customHeight="false" outlineLevel="0" collapsed="false">
      <c r="B28" s="147"/>
      <c r="C28" s="147"/>
      <c r="D28" s="148"/>
      <c r="E28" s="148"/>
      <c r="F28" s="148"/>
      <c r="G28" s="148"/>
      <c r="H28" s="148"/>
      <c r="I28" s="148"/>
      <c r="J28" s="148"/>
      <c r="K28" s="148"/>
      <c r="L28" s="148"/>
      <c r="M28" s="149" t="str">
        <f aca="false">IF(ISBLANK(AM28),'Item-Roteiro_PONTUA'!$B$20,VLOOKUP(AM28,'Item-Roteiro_PONTUA'!$A$2:$C$86,2,0))</f>
        <v>Desenvolvimento</v>
      </c>
      <c r="N28" s="148" t="s">
        <v>10</v>
      </c>
      <c r="O28" s="149" t="str">
        <f aca="false">IF(ISBLANK(AM28),'Item-Roteiro_PONTUA'!$C$20,VLOOKUP(AM28,'Item-Roteiro_PONTUA'!$A$2:$C$86,3,0))</f>
        <v>Incluída</v>
      </c>
      <c r="P28" s="147"/>
      <c r="Q28" s="147"/>
      <c r="R28" s="147"/>
      <c r="S28" s="147"/>
      <c r="T28" s="147"/>
      <c r="U28" s="147"/>
      <c r="V28" s="147"/>
      <c r="W28" s="147"/>
      <c r="X28" s="147"/>
      <c r="Y28" s="150"/>
      <c r="Z28" s="148"/>
      <c r="AA28" s="148"/>
      <c r="AB28" s="148"/>
      <c r="AC28" s="148"/>
      <c r="AD28" s="148"/>
      <c r="AE28" s="150"/>
      <c r="AF28" s="151"/>
      <c r="AG28" s="152"/>
      <c r="AH28" s="152"/>
      <c r="AI28" s="152"/>
      <c r="AJ28" s="152"/>
      <c r="AK28" s="153"/>
      <c r="AM28" s="155"/>
      <c r="AN28" s="153"/>
      <c r="AO28" s="155"/>
    </row>
    <row r="29" customFormat="false" ht="15" hidden="false" customHeight="false" outlineLevel="0" collapsed="false">
      <c r="B29" s="147"/>
      <c r="C29" s="147"/>
      <c r="D29" s="148"/>
      <c r="E29" s="148"/>
      <c r="F29" s="148"/>
      <c r="G29" s="148"/>
      <c r="H29" s="148"/>
      <c r="I29" s="148"/>
      <c r="J29" s="148"/>
      <c r="K29" s="148"/>
      <c r="L29" s="148"/>
      <c r="M29" s="149" t="str">
        <f aca="false">IF(ISBLANK(AM29),'Item-Roteiro_PONTUA'!$B$20,VLOOKUP(AM29,'Item-Roteiro_PONTUA'!$A$2:$C$86,2,0))</f>
        <v>Desenvolvimento</v>
      </c>
      <c r="N29" s="148" t="s">
        <v>10</v>
      </c>
      <c r="O29" s="149" t="str">
        <f aca="false">IF(ISBLANK(AM29),'Item-Roteiro_PONTUA'!$C$20,VLOOKUP(AM29,'Item-Roteiro_PONTUA'!$A$2:$C$86,3,0))</f>
        <v>Incluída</v>
      </c>
      <c r="P29" s="147"/>
      <c r="Q29" s="147"/>
      <c r="R29" s="147"/>
      <c r="S29" s="147"/>
      <c r="T29" s="147"/>
      <c r="U29" s="147"/>
      <c r="V29" s="147"/>
      <c r="W29" s="147"/>
      <c r="X29" s="147"/>
      <c r="Y29" s="150"/>
      <c r="Z29" s="148"/>
      <c r="AA29" s="148"/>
      <c r="AB29" s="148"/>
      <c r="AC29" s="148"/>
      <c r="AD29" s="148"/>
      <c r="AE29" s="150"/>
      <c r="AF29" s="151"/>
      <c r="AG29" s="152"/>
      <c r="AH29" s="152"/>
      <c r="AI29" s="152"/>
      <c r="AJ29" s="152"/>
      <c r="AK29" s="153"/>
      <c r="AM29" s="155"/>
      <c r="AN29" s="153"/>
      <c r="AO29" s="155"/>
    </row>
    <row r="30" customFormat="false" ht="15" hidden="false" customHeight="false" outlineLevel="0" collapsed="false">
      <c r="B30" s="147"/>
      <c r="C30" s="147"/>
      <c r="D30" s="148"/>
      <c r="E30" s="148"/>
      <c r="F30" s="148"/>
      <c r="G30" s="148"/>
      <c r="H30" s="148"/>
      <c r="I30" s="148"/>
      <c r="J30" s="148"/>
      <c r="K30" s="148"/>
      <c r="L30" s="148"/>
      <c r="M30" s="149" t="str">
        <f aca="false">IF(ISBLANK(AM30),'Item-Roteiro_PONTUA'!$B$20,VLOOKUP(AM30,'Item-Roteiro_PONTUA'!$A$2:$C$86,2,0))</f>
        <v>Desenvolvimento</v>
      </c>
      <c r="N30" s="148" t="s">
        <v>10</v>
      </c>
      <c r="O30" s="149" t="str">
        <f aca="false">IF(ISBLANK(AM30),'Item-Roteiro_PONTUA'!$C$20,VLOOKUP(AM30,'Item-Roteiro_PONTUA'!$A$2:$C$86,3,0))</f>
        <v>Incluída</v>
      </c>
      <c r="P30" s="147"/>
      <c r="Q30" s="147"/>
      <c r="R30" s="147"/>
      <c r="S30" s="147"/>
      <c r="T30" s="147"/>
      <c r="U30" s="147"/>
      <c r="V30" s="147"/>
      <c r="W30" s="147"/>
      <c r="X30" s="147"/>
      <c r="Y30" s="150"/>
      <c r="Z30" s="148"/>
      <c r="AA30" s="148"/>
      <c r="AB30" s="148"/>
      <c r="AC30" s="148"/>
      <c r="AD30" s="148"/>
      <c r="AE30" s="150"/>
      <c r="AF30" s="151"/>
      <c r="AG30" s="152"/>
      <c r="AH30" s="152"/>
      <c r="AI30" s="152"/>
      <c r="AJ30" s="152"/>
      <c r="AK30" s="153"/>
      <c r="AM30" s="155"/>
      <c r="AN30" s="153"/>
      <c r="AO30" s="155"/>
    </row>
    <row r="31" customFormat="false" ht="15" hidden="false" customHeight="false" outlineLevel="0" collapsed="false">
      <c r="B31" s="147"/>
      <c r="C31" s="147"/>
      <c r="D31" s="148"/>
      <c r="E31" s="148"/>
      <c r="F31" s="148"/>
      <c r="G31" s="148"/>
      <c r="H31" s="148"/>
      <c r="I31" s="148"/>
      <c r="J31" s="148"/>
      <c r="K31" s="148"/>
      <c r="L31" s="148"/>
      <c r="M31" s="149" t="str">
        <f aca="false">IF(ISBLANK(AM31),'Item-Roteiro_PONTUA'!$B$20,VLOOKUP(AM31,'Item-Roteiro_PONTUA'!$A$2:$C$86,2,0))</f>
        <v>Desenvolvimento</v>
      </c>
      <c r="N31" s="148" t="s">
        <v>10</v>
      </c>
      <c r="O31" s="149" t="str">
        <f aca="false">IF(ISBLANK(AM31),'Item-Roteiro_PONTUA'!$C$20,VLOOKUP(AM31,'Item-Roteiro_PONTUA'!$A$2:$C$86,3,0))</f>
        <v>Incluída</v>
      </c>
      <c r="P31" s="147"/>
      <c r="Q31" s="147"/>
      <c r="R31" s="147"/>
      <c r="S31" s="147"/>
      <c r="T31" s="147"/>
      <c r="U31" s="147"/>
      <c r="V31" s="147"/>
      <c r="W31" s="147"/>
      <c r="X31" s="147"/>
      <c r="Y31" s="150"/>
      <c r="Z31" s="148"/>
      <c r="AA31" s="148"/>
      <c r="AB31" s="148"/>
      <c r="AC31" s="148"/>
      <c r="AD31" s="148"/>
      <c r="AE31" s="150"/>
      <c r="AF31" s="151"/>
      <c r="AG31" s="152"/>
      <c r="AH31" s="152"/>
      <c r="AI31" s="152"/>
      <c r="AJ31" s="152"/>
      <c r="AK31" s="153"/>
      <c r="AM31" s="155"/>
      <c r="AN31" s="153"/>
      <c r="AO31" s="155"/>
    </row>
    <row r="32" customFormat="false" ht="15" hidden="false" customHeight="false" outlineLevel="0" collapsed="false">
      <c r="B32" s="147"/>
      <c r="C32" s="147"/>
      <c r="D32" s="148"/>
      <c r="E32" s="148"/>
      <c r="F32" s="148"/>
      <c r="G32" s="148"/>
      <c r="H32" s="148"/>
      <c r="I32" s="148"/>
      <c r="J32" s="148"/>
      <c r="K32" s="148"/>
      <c r="L32" s="148"/>
      <c r="M32" s="149" t="str">
        <f aca="false">IF(ISBLANK(AM32),'Item-Roteiro_PONTUA'!$B$20,VLOOKUP(AM32,'Item-Roteiro_PONTUA'!$A$2:$C$86,2,0))</f>
        <v>Desenvolvimento</v>
      </c>
      <c r="N32" s="148" t="s">
        <v>10</v>
      </c>
      <c r="O32" s="149" t="str">
        <f aca="false">IF(ISBLANK(AM32),'Item-Roteiro_PONTUA'!$C$20,VLOOKUP(AM32,'Item-Roteiro_PONTUA'!$A$2:$C$86,3,0))</f>
        <v>Incluída</v>
      </c>
      <c r="P32" s="147"/>
      <c r="Q32" s="147"/>
      <c r="R32" s="147"/>
      <c r="S32" s="147"/>
      <c r="T32" s="147"/>
      <c r="U32" s="147"/>
      <c r="V32" s="147"/>
      <c r="W32" s="147"/>
      <c r="X32" s="147"/>
      <c r="Y32" s="150"/>
      <c r="Z32" s="148"/>
      <c r="AA32" s="148"/>
      <c r="AB32" s="148"/>
      <c r="AC32" s="148"/>
      <c r="AD32" s="148"/>
      <c r="AE32" s="150"/>
      <c r="AF32" s="151"/>
      <c r="AG32" s="152"/>
      <c r="AH32" s="152"/>
      <c r="AI32" s="152"/>
      <c r="AJ32" s="152"/>
      <c r="AK32" s="153"/>
      <c r="AM32" s="155"/>
      <c r="AN32" s="153"/>
      <c r="AO32" s="155"/>
    </row>
    <row r="33" customFormat="false" ht="15" hidden="false" customHeight="false" outlineLevel="0" collapsed="false">
      <c r="B33" s="147"/>
      <c r="C33" s="147"/>
      <c r="D33" s="148"/>
      <c r="E33" s="148"/>
      <c r="F33" s="148"/>
      <c r="G33" s="148"/>
      <c r="H33" s="148"/>
      <c r="I33" s="148"/>
      <c r="J33" s="148"/>
      <c r="K33" s="148"/>
      <c r="L33" s="148"/>
      <c r="M33" s="149" t="str">
        <f aca="false">IF(ISBLANK(AM33),'Item-Roteiro_PONTUA'!$B$20,VLOOKUP(AM33,'Item-Roteiro_PONTUA'!$A$2:$C$86,2,0))</f>
        <v>Desenvolvimento</v>
      </c>
      <c r="N33" s="148" t="s">
        <v>10</v>
      </c>
      <c r="O33" s="149" t="str">
        <f aca="false">IF(ISBLANK(AM33),'Item-Roteiro_PONTUA'!$C$20,VLOOKUP(AM33,'Item-Roteiro_PONTUA'!$A$2:$C$86,3,0))</f>
        <v>Incluída</v>
      </c>
      <c r="P33" s="147"/>
      <c r="Q33" s="147"/>
      <c r="R33" s="147"/>
      <c r="S33" s="147"/>
      <c r="T33" s="147"/>
      <c r="U33" s="147"/>
      <c r="V33" s="147"/>
      <c r="W33" s="147"/>
      <c r="X33" s="147"/>
      <c r="Y33" s="150"/>
      <c r="Z33" s="148"/>
      <c r="AA33" s="148"/>
      <c r="AB33" s="148"/>
      <c r="AC33" s="148"/>
      <c r="AD33" s="148"/>
      <c r="AE33" s="150"/>
      <c r="AF33" s="151"/>
      <c r="AG33" s="152"/>
      <c r="AH33" s="152"/>
      <c r="AI33" s="152"/>
      <c r="AJ33" s="152"/>
      <c r="AK33" s="153"/>
      <c r="AM33" s="155"/>
      <c r="AN33" s="153"/>
      <c r="AO33" s="155"/>
    </row>
    <row r="34" customFormat="false" ht="15" hidden="false" customHeight="false" outlineLevel="0" collapsed="false">
      <c r="B34" s="147"/>
      <c r="C34" s="147"/>
      <c r="D34" s="148"/>
      <c r="E34" s="148"/>
      <c r="F34" s="148"/>
      <c r="G34" s="148"/>
      <c r="H34" s="148"/>
      <c r="I34" s="148"/>
      <c r="J34" s="148"/>
      <c r="K34" s="148"/>
      <c r="L34" s="148"/>
      <c r="M34" s="149" t="str">
        <f aca="false">IF(ISBLANK(AM34),'Item-Roteiro_PONTUA'!$B$20,VLOOKUP(AM34,'Item-Roteiro_PONTUA'!$A$2:$C$86,2,0))</f>
        <v>Desenvolvimento</v>
      </c>
      <c r="N34" s="148" t="s">
        <v>10</v>
      </c>
      <c r="O34" s="149" t="str">
        <f aca="false">IF(ISBLANK(AM34),'Item-Roteiro_PONTUA'!$C$20,VLOOKUP(AM34,'Item-Roteiro_PONTUA'!$A$2:$C$86,3,0))</f>
        <v>Incluída</v>
      </c>
      <c r="P34" s="147"/>
      <c r="Q34" s="147"/>
      <c r="R34" s="147"/>
      <c r="S34" s="147"/>
      <c r="T34" s="147"/>
      <c r="U34" s="147"/>
      <c r="V34" s="147"/>
      <c r="W34" s="147"/>
      <c r="X34" s="147"/>
      <c r="Y34" s="150"/>
      <c r="Z34" s="148"/>
      <c r="AA34" s="148"/>
      <c r="AB34" s="148"/>
      <c r="AC34" s="148"/>
      <c r="AD34" s="148"/>
      <c r="AE34" s="150"/>
      <c r="AF34" s="151"/>
      <c r="AG34" s="152"/>
      <c r="AH34" s="152"/>
      <c r="AI34" s="152"/>
      <c r="AJ34" s="152"/>
      <c r="AK34" s="153"/>
      <c r="AM34" s="155"/>
      <c r="AN34" s="153"/>
      <c r="AO34" s="155"/>
    </row>
    <row r="35" customFormat="false" ht="15" hidden="false" customHeight="false" outlineLevel="0" collapsed="false">
      <c r="B35" s="147"/>
      <c r="C35" s="147"/>
      <c r="D35" s="148"/>
      <c r="E35" s="148"/>
      <c r="F35" s="148"/>
      <c r="G35" s="148"/>
      <c r="H35" s="148"/>
      <c r="I35" s="148"/>
      <c r="J35" s="148"/>
      <c r="K35" s="148"/>
      <c r="L35" s="148"/>
      <c r="M35" s="149" t="str">
        <f aca="false">IF(ISBLANK(AM35),'Item-Roteiro_PONTUA'!$B$20,VLOOKUP(AM35,'Item-Roteiro_PONTUA'!$A$2:$C$86,2,0))</f>
        <v>Desenvolvimento</v>
      </c>
      <c r="N35" s="148" t="s">
        <v>10</v>
      </c>
      <c r="O35" s="149" t="str">
        <f aca="false">IF(ISBLANK(AM35),'Item-Roteiro_PONTUA'!$C$20,VLOOKUP(AM35,'Item-Roteiro_PONTUA'!$A$2:$C$86,3,0))</f>
        <v>Incluída</v>
      </c>
      <c r="P35" s="147"/>
      <c r="Q35" s="147"/>
      <c r="R35" s="147"/>
      <c r="S35" s="147"/>
      <c r="T35" s="147"/>
      <c r="U35" s="147"/>
      <c r="V35" s="147"/>
      <c r="W35" s="147"/>
      <c r="X35" s="147"/>
      <c r="Y35" s="150"/>
      <c r="Z35" s="148"/>
      <c r="AA35" s="148"/>
      <c r="AB35" s="148"/>
      <c r="AC35" s="148"/>
      <c r="AD35" s="148"/>
      <c r="AE35" s="150"/>
      <c r="AF35" s="151"/>
      <c r="AG35" s="152"/>
      <c r="AH35" s="152"/>
      <c r="AI35" s="152"/>
      <c r="AJ35" s="152"/>
      <c r="AK35" s="153"/>
      <c r="AM35" s="155"/>
      <c r="AN35" s="153"/>
      <c r="AO35" s="155"/>
    </row>
    <row r="36" customFormat="false" ht="15" hidden="false" customHeight="false" outlineLevel="0" collapsed="false">
      <c r="B36" s="147"/>
      <c r="C36" s="147"/>
      <c r="D36" s="148"/>
      <c r="E36" s="148"/>
      <c r="F36" s="148"/>
      <c r="G36" s="148"/>
      <c r="H36" s="148"/>
      <c r="I36" s="148"/>
      <c r="J36" s="148"/>
      <c r="K36" s="148"/>
      <c r="L36" s="148"/>
      <c r="M36" s="149" t="str">
        <f aca="false">IF(ISBLANK(AM36),'Item-Roteiro_PONTUA'!$B$20,VLOOKUP(AM36,'Item-Roteiro_PONTUA'!$A$2:$C$86,2,0))</f>
        <v>Desenvolvimento</v>
      </c>
      <c r="N36" s="148" t="s">
        <v>10</v>
      </c>
      <c r="O36" s="149" t="str">
        <f aca="false">IF(ISBLANK(AM36),'Item-Roteiro_PONTUA'!$C$20,VLOOKUP(AM36,'Item-Roteiro_PONTUA'!$A$2:$C$86,3,0))</f>
        <v>Incluída</v>
      </c>
      <c r="P36" s="147"/>
      <c r="Q36" s="147"/>
      <c r="R36" s="147"/>
      <c r="S36" s="147"/>
      <c r="T36" s="147"/>
      <c r="U36" s="147"/>
      <c r="V36" s="147"/>
      <c r="W36" s="147"/>
      <c r="X36" s="147"/>
      <c r="Y36" s="150"/>
      <c r="Z36" s="148"/>
      <c r="AA36" s="148"/>
      <c r="AB36" s="148"/>
      <c r="AC36" s="148"/>
      <c r="AD36" s="148"/>
      <c r="AE36" s="150"/>
      <c r="AF36" s="151"/>
      <c r="AG36" s="152"/>
      <c r="AH36" s="152"/>
      <c r="AI36" s="152"/>
      <c r="AJ36" s="152"/>
      <c r="AK36" s="153"/>
      <c r="AM36" s="155"/>
      <c r="AN36" s="153"/>
      <c r="AO36" s="155"/>
    </row>
    <row r="37" customFormat="false" ht="15" hidden="false" customHeight="false" outlineLevel="0" collapsed="false">
      <c r="B37" s="147"/>
      <c r="C37" s="147"/>
      <c r="D37" s="148"/>
      <c r="E37" s="148"/>
      <c r="F37" s="148"/>
      <c r="G37" s="148"/>
      <c r="H37" s="148"/>
      <c r="I37" s="148"/>
      <c r="J37" s="148"/>
      <c r="K37" s="148"/>
      <c r="L37" s="148"/>
      <c r="M37" s="149" t="str">
        <f aca="false">IF(ISBLANK(AM37),'Item-Roteiro_PONTUA'!$B$20,VLOOKUP(AM37,'Item-Roteiro_PONTUA'!$A$2:$C$86,2,0))</f>
        <v>Desenvolvimento</v>
      </c>
      <c r="N37" s="148" t="s">
        <v>10</v>
      </c>
      <c r="O37" s="149" t="str">
        <f aca="false">IF(ISBLANK(AM37),'Item-Roteiro_PONTUA'!$C$20,VLOOKUP(AM37,'Item-Roteiro_PONTUA'!$A$2:$C$86,3,0))</f>
        <v>Incluída</v>
      </c>
      <c r="P37" s="147"/>
      <c r="Q37" s="147"/>
      <c r="R37" s="147"/>
      <c r="S37" s="147"/>
      <c r="T37" s="147"/>
      <c r="U37" s="147"/>
      <c r="V37" s="147"/>
      <c r="W37" s="147"/>
      <c r="X37" s="147"/>
      <c r="Y37" s="150"/>
      <c r="Z37" s="148"/>
      <c r="AA37" s="148"/>
      <c r="AB37" s="148"/>
      <c r="AC37" s="148"/>
      <c r="AD37" s="148"/>
      <c r="AE37" s="150"/>
      <c r="AF37" s="151"/>
      <c r="AG37" s="152"/>
      <c r="AH37" s="152"/>
      <c r="AI37" s="152"/>
      <c r="AJ37" s="152"/>
      <c r="AK37" s="153"/>
      <c r="AM37" s="155"/>
      <c r="AN37" s="153"/>
      <c r="AO37" s="155"/>
    </row>
    <row r="38" customFormat="false" ht="15" hidden="false" customHeight="false" outlineLevel="0" collapsed="false">
      <c r="B38" s="147"/>
      <c r="C38" s="147"/>
      <c r="D38" s="148"/>
      <c r="E38" s="148"/>
      <c r="F38" s="148"/>
      <c r="G38" s="148"/>
      <c r="H38" s="148"/>
      <c r="I38" s="148"/>
      <c r="J38" s="148"/>
      <c r="K38" s="148"/>
      <c r="L38" s="148" t="s">
        <v>10</v>
      </c>
      <c r="M38" s="149" t="str">
        <f aca="false">IF(ISBLANK(AM38),'Item-Roteiro_PONTUA'!$B$20,VLOOKUP(AM38,'Item-Roteiro_PONTUA'!$A$2:$C$86,2,0))</f>
        <v>Desenvolvimento</v>
      </c>
      <c r="N38" s="148" t="s">
        <v>10</v>
      </c>
      <c r="O38" s="149" t="str">
        <f aca="false">IF(ISBLANK(AM38),'Item-Roteiro_PONTUA'!$C$20,VLOOKUP(AM38,'Item-Roteiro_PONTUA'!$A$2:$C$86,3,0))</f>
        <v>Incluída</v>
      </c>
      <c r="P38" s="147"/>
      <c r="Q38" s="147"/>
      <c r="R38" s="147"/>
      <c r="S38" s="147"/>
      <c r="T38" s="147"/>
      <c r="U38" s="147"/>
      <c r="V38" s="147"/>
      <c r="W38" s="147"/>
      <c r="X38" s="147"/>
      <c r="Y38" s="150"/>
      <c r="Z38" s="148"/>
      <c r="AA38" s="148"/>
      <c r="AB38" s="148"/>
      <c r="AC38" s="148"/>
      <c r="AD38" s="148"/>
      <c r="AE38" s="150"/>
      <c r="AF38" s="151" t="str">
        <f aca="false">IF(Y38="Baixa",7,IF(Y38="Média",10,IF(Y38="Alta",15,"*")))</f>
        <v>*</v>
      </c>
      <c r="AG38" s="152"/>
      <c r="AH38" s="152"/>
      <c r="AI38" s="152"/>
      <c r="AJ38" s="152"/>
      <c r="AK38" s="153"/>
      <c r="AL38" s="1" t="s">
        <v>10</v>
      </c>
      <c r="AM38" s="154"/>
      <c r="AN38" s="153"/>
      <c r="AO38" s="154"/>
    </row>
    <row r="39" customFormat="false" ht="15" hidden="false" customHeight="false" outlineLevel="0" collapsed="false">
      <c r="D39" s="1" t="s">
        <v>10</v>
      </c>
      <c r="F39" s="1" t="s">
        <v>10</v>
      </c>
      <c r="H39" s="1" t="s">
        <v>10</v>
      </c>
      <c r="J39" s="1" t="s">
        <v>10</v>
      </c>
      <c r="L39" s="1" t="s">
        <v>10</v>
      </c>
      <c r="N39" s="1" t="s">
        <v>10</v>
      </c>
      <c r="P39" s="1" t="s">
        <v>10</v>
      </c>
      <c r="Z39" s="1" t="s">
        <v>10</v>
      </c>
      <c r="AL39" s="1" t="s">
        <v>10</v>
      </c>
    </row>
    <row r="41" customFormat="false" ht="15" hidden="false" customHeight="false" outlineLevel="0" collapsed="false">
      <c r="C41" s="13" t="s">
        <v>10</v>
      </c>
      <c r="D41" s="1" t="s">
        <v>10</v>
      </c>
      <c r="E41" s="156" t="s">
        <v>170</v>
      </c>
      <c r="F41" s="156"/>
      <c r="G41" s="156"/>
      <c r="H41" s="157"/>
      <c r="I41" s="158" t="s">
        <v>34</v>
      </c>
      <c r="J41" s="158"/>
      <c r="K41" s="158"/>
      <c r="M41" s="159"/>
    </row>
    <row r="42" customFormat="false" ht="15" hidden="false" customHeight="false" outlineLevel="0" collapsed="false">
      <c r="B42" s="160"/>
      <c r="C42" s="160" t="s">
        <v>164</v>
      </c>
      <c r="D42" s="161"/>
      <c r="E42" s="162" t="s">
        <v>165</v>
      </c>
      <c r="F42" s="162"/>
      <c r="G42" s="162"/>
      <c r="H42" s="162"/>
      <c r="I42" s="162"/>
      <c r="J42" s="162"/>
      <c r="K42" s="162"/>
      <c r="M42" s="159"/>
    </row>
    <row r="43" customFormat="false" ht="15" hidden="false" customHeight="false" outlineLevel="0" collapsed="false">
      <c r="B43" s="163"/>
      <c r="C43" s="164" t="s">
        <v>35</v>
      </c>
      <c r="D43" s="163"/>
      <c r="E43" s="165" t="n">
        <f aca="false" t="array" ref="E43:E43">SUMPRODUCT((Y19:Y38=C43)*(LEFT(M19:M38,10)&lt;&gt;"Retrabalho"))</f>
        <v>0</v>
      </c>
      <c r="F43" s="165"/>
      <c r="G43" s="165"/>
      <c r="H43" s="166"/>
      <c r="I43" s="167" t="n">
        <f aca="false" t="array" ref="I43:I43">SUMPRODUCT((Y19:Y38=C43)*(LEFT(M19:M38,10)&lt;&gt;"Retrabalho")*NOT(ISBLANK(AE19:AE38))*AE19:AE38)</f>
        <v>0</v>
      </c>
      <c r="J43" s="167"/>
      <c r="K43" s="167"/>
      <c r="M43" s="159"/>
    </row>
    <row r="44" customFormat="false" ht="15" hidden="false" customHeight="false" outlineLevel="0" collapsed="false">
      <c r="B44" s="163"/>
      <c r="C44" s="164" t="s">
        <v>36</v>
      </c>
      <c r="D44" s="163"/>
      <c r="E44" s="165" t="n">
        <f aca="false" t="array" ref="E44:E44">SUMPRODUCT((Y19:Y38=C44)*(LEFT(M19:M38,10)&lt;&gt;"Retrabalho"))</f>
        <v>0</v>
      </c>
      <c r="F44" s="165"/>
      <c r="G44" s="165"/>
      <c r="H44" s="166"/>
      <c r="I44" s="167" t="n">
        <f aca="false" t="array" ref="I44:I44">SUMPRODUCT((Y19:Y38=C44)*(LEFT(M19:M38,10)&lt;&gt;"Retrabalho")*NOT(ISBLANK(AE19:AE38))*AE19:AE38)</f>
        <v>0</v>
      </c>
      <c r="J44" s="167"/>
      <c r="K44" s="167"/>
      <c r="M44" s="159"/>
    </row>
    <row r="45" customFormat="false" ht="15" hidden="false" customHeight="false" outlineLevel="0" collapsed="false">
      <c r="B45" s="163"/>
      <c r="C45" s="164" t="s">
        <v>37</v>
      </c>
      <c r="D45" s="163"/>
      <c r="E45" s="165" t="n">
        <f aca="false" t="array" ref="E45:E45">SUMPRODUCT((Y19:Y38=C45)*(LEFT(M19:M38,10)&lt;&gt;"Retrabalho"))</f>
        <v>0</v>
      </c>
      <c r="F45" s="165"/>
      <c r="G45" s="165"/>
      <c r="H45" s="166"/>
      <c r="I45" s="167" t="n">
        <f aca="false" t="array" ref="I45:I45">SUMPRODUCT((Y19:Y38=C45)*(LEFT(M19:M38,10)&lt;&gt;"Retrabalho")*NOT(ISBLANK(AE19:AE38))*AE19:AE38)</f>
        <v>0</v>
      </c>
      <c r="J45" s="167"/>
      <c r="K45" s="167"/>
      <c r="M45" s="159"/>
    </row>
    <row r="46" customFormat="false" ht="15" hidden="false" customHeight="false" outlineLevel="0" collapsed="false">
      <c r="C46" s="168"/>
      <c r="E46" s="159"/>
      <c r="F46" s="13"/>
      <c r="G46" s="13"/>
      <c r="H46" s="13"/>
      <c r="I46" s="13"/>
      <c r="J46" s="13"/>
      <c r="K46" s="169"/>
      <c r="M46" s="159"/>
    </row>
    <row r="47" customFormat="false" ht="15" hidden="false" customHeight="false" outlineLevel="0" collapsed="false">
      <c r="C47" s="168"/>
      <c r="E47" s="162" t="s">
        <v>41</v>
      </c>
      <c r="F47" s="162"/>
      <c r="G47" s="162"/>
      <c r="H47" s="162"/>
      <c r="I47" s="162"/>
      <c r="J47" s="162"/>
      <c r="K47" s="162"/>
      <c r="M47" s="159"/>
    </row>
    <row r="48" customFormat="false" ht="15" hidden="false" customHeight="false" outlineLevel="0" collapsed="false">
      <c r="B48" s="163"/>
      <c r="C48" s="164" t="s">
        <v>35</v>
      </c>
      <c r="D48" s="163"/>
      <c r="E48" s="165" t="n">
        <f aca="false" t="array" ref="E48:E48">SUMPRODUCT((Y19:Y38=C48)*(LEFT(M19:M38,10)="Retrabalho"))</f>
        <v>0</v>
      </c>
      <c r="F48" s="165"/>
      <c r="G48" s="165"/>
      <c r="H48" s="166"/>
      <c r="I48" s="167" t="n">
        <f aca="false" t="array" ref="I48:I48">SUMPRODUCT((Y19:Y38=C48)*(LEFT(M19:M38,10)="Retrabalho")*NOT(ISBLANK(AE19:AE38))*AE19:AE38)</f>
        <v>0</v>
      </c>
      <c r="J48" s="167"/>
      <c r="K48" s="167"/>
      <c r="M48" s="159"/>
    </row>
    <row r="49" customFormat="false" ht="15" hidden="false" customHeight="false" outlineLevel="0" collapsed="false">
      <c r="B49" s="163"/>
      <c r="C49" s="164" t="s">
        <v>36</v>
      </c>
      <c r="D49" s="163"/>
      <c r="E49" s="165" t="n">
        <f aca="false" t="array" ref="E49:E49">SUMPRODUCT((Y19:Y38=C49)*(LEFT(M19:M38,10)="Retrabalho"))</f>
        <v>0</v>
      </c>
      <c r="F49" s="165"/>
      <c r="G49" s="165"/>
      <c r="H49" s="166"/>
      <c r="I49" s="167" t="n">
        <f aca="false" t="array" ref="I49:I49">SUMPRODUCT((Y19:Y38=C49)*(LEFT(M19:M38,10)="Retrabalho")*NOT(ISBLANK(AE19:AE38))*AE19:AE38)</f>
        <v>0</v>
      </c>
      <c r="J49" s="167"/>
      <c r="K49" s="167"/>
      <c r="M49" s="159"/>
    </row>
    <row r="50" customFormat="false" ht="15" hidden="false" customHeight="false" outlineLevel="0" collapsed="false">
      <c r="B50" s="163"/>
      <c r="C50" s="164" t="s">
        <v>37</v>
      </c>
      <c r="D50" s="163"/>
      <c r="E50" s="165" t="n">
        <f aca="false" t="array" ref="E50:E50">SUMPRODUCT((Y19:Y38=C50)*(LEFT(M19:M38,10)="Retrabalho"))</f>
        <v>0</v>
      </c>
      <c r="F50" s="165"/>
      <c r="G50" s="165"/>
      <c r="H50" s="166"/>
      <c r="I50" s="167" t="n">
        <f aca="false" t="array" ref="I50:I50">SUMPRODUCT((Y19:Y38=C50)*(LEFT(M19:M38,10)="Retrabalho")*NOT(ISBLANK(AE19:AE38))*AE19:AE38)</f>
        <v>0</v>
      </c>
      <c r="J50" s="167"/>
      <c r="K50" s="167"/>
      <c r="M50" s="159"/>
    </row>
    <row r="51" customFormat="false" ht="15" hidden="false" customHeight="false" outlineLevel="0" collapsed="false">
      <c r="C51" s="168"/>
      <c r="E51" s="159"/>
      <c r="F51" s="13"/>
      <c r="G51" s="13"/>
      <c r="H51" s="13"/>
      <c r="I51" s="13"/>
      <c r="J51" s="13"/>
      <c r="K51" s="169"/>
      <c r="M51" s="159"/>
    </row>
    <row r="52" customFormat="false" ht="15" hidden="false" customHeight="false" outlineLevel="0" collapsed="false">
      <c r="C52" s="168"/>
      <c r="E52" s="162" t="s">
        <v>166</v>
      </c>
      <c r="F52" s="162"/>
      <c r="G52" s="162"/>
      <c r="H52" s="162"/>
      <c r="I52" s="162"/>
      <c r="J52" s="162"/>
      <c r="K52" s="162"/>
      <c r="M52" s="159"/>
    </row>
    <row r="53" customFormat="false" ht="15" hidden="false" customHeight="false" outlineLevel="0" collapsed="false">
      <c r="B53" s="163"/>
      <c r="C53" s="164" t="s">
        <v>35</v>
      </c>
      <c r="D53" s="163"/>
      <c r="E53" s="165" t="n">
        <f aca="false">E43+E48</f>
        <v>0</v>
      </c>
      <c r="F53" s="165"/>
      <c r="G53" s="165"/>
      <c r="H53" s="166"/>
      <c r="I53" s="167" t="n">
        <f aca="false">I43+I48</f>
        <v>0</v>
      </c>
      <c r="J53" s="167"/>
      <c r="K53" s="167"/>
      <c r="M53" s="159"/>
    </row>
    <row r="54" customFormat="false" ht="15" hidden="false" customHeight="false" outlineLevel="0" collapsed="false">
      <c r="B54" s="163"/>
      <c r="C54" s="164" t="s">
        <v>36</v>
      </c>
      <c r="D54" s="163"/>
      <c r="E54" s="165" t="n">
        <f aca="false">E44+E49</f>
        <v>0</v>
      </c>
      <c r="F54" s="165"/>
      <c r="G54" s="165"/>
      <c r="H54" s="166"/>
      <c r="I54" s="167" t="n">
        <f aca="false">I44+I49</f>
        <v>0</v>
      </c>
      <c r="J54" s="167"/>
      <c r="K54" s="167"/>
      <c r="M54" s="159"/>
    </row>
    <row r="55" customFormat="false" ht="15" hidden="false" customHeight="false" outlineLevel="0" collapsed="false">
      <c r="B55" s="163"/>
      <c r="C55" s="164" t="s">
        <v>37</v>
      </c>
      <c r="D55" s="163"/>
      <c r="E55" s="165" t="n">
        <f aca="false">E45+E50</f>
        <v>0</v>
      </c>
      <c r="F55" s="165"/>
      <c r="G55" s="165"/>
      <c r="H55" s="166"/>
      <c r="I55" s="167" t="n">
        <f aca="false">I45+I50</f>
        <v>0</v>
      </c>
      <c r="J55" s="167"/>
      <c r="K55" s="167"/>
      <c r="M55" s="159"/>
    </row>
    <row r="56" customFormat="false" ht="15" hidden="false" customHeight="false" outlineLevel="0" collapsed="false">
      <c r="C56" s="13"/>
      <c r="E56" s="170" t="n">
        <f aca="false">E53+E54+E55</f>
        <v>0</v>
      </c>
      <c r="F56" s="170"/>
      <c r="G56" s="170"/>
      <c r="H56" s="171"/>
      <c r="I56" s="172" t="n">
        <f aca="false">I53+I54+I55</f>
        <v>0</v>
      </c>
      <c r="J56" s="172"/>
      <c r="K56" s="172"/>
      <c r="M56" s="159"/>
    </row>
  </sheetData>
  <mergeCells count="52">
    <mergeCell ref="E2:AK2"/>
    <mergeCell ref="B9:AK9"/>
    <mergeCell ref="B12:AK12"/>
    <mergeCell ref="B13:AK13"/>
    <mergeCell ref="B14:AK14"/>
    <mergeCell ref="B15:AK15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E41:G41"/>
    <mergeCell ref="I41:K41"/>
    <mergeCell ref="E42:K42"/>
    <mergeCell ref="E43:G43"/>
    <mergeCell ref="I43:K43"/>
    <mergeCell ref="E44:G44"/>
    <mergeCell ref="I44:K44"/>
    <mergeCell ref="E45:G45"/>
    <mergeCell ref="I45:K45"/>
    <mergeCell ref="E47:K47"/>
    <mergeCell ref="E48:G48"/>
    <mergeCell ref="I48:K48"/>
    <mergeCell ref="E49:G49"/>
    <mergeCell ref="I49:K49"/>
    <mergeCell ref="E50:G50"/>
    <mergeCell ref="I50:K50"/>
    <mergeCell ref="E52:K52"/>
    <mergeCell ref="E53:G53"/>
    <mergeCell ref="I53:K53"/>
    <mergeCell ref="E54:G54"/>
    <mergeCell ref="I54:K54"/>
    <mergeCell ref="E55:G55"/>
    <mergeCell ref="I55:K55"/>
    <mergeCell ref="E56:G56"/>
    <mergeCell ref="I56:K56"/>
  </mergeCells>
  <dataValidations count="3">
    <dataValidation allowBlank="true" operator="between" showDropDown="false" showErrorMessage="true" showInputMessage="true" sqref="O19:O38" type="list">
      <formula1>Validar!$G$2:$G$11</formula1>
      <formula2>0</formula2>
    </dataValidation>
    <dataValidation allowBlank="true" operator="between" showDropDown="false" showErrorMessage="true" showInputMessage="true" sqref="M19:M38" type="list">
      <formula1>Validar!$G$17:$G$51</formula1>
      <formula2>0</formula2>
    </dataValidation>
    <dataValidation allowBlank="true" operator="between" showDropDown="false" showErrorMessage="true" showInputMessage="true" sqref="AM19:AM38 AO19:AO38" type="list">
      <formula1>Validar!$I$2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AO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.29"/>
    <col collapsed="false" customWidth="true" hidden="false" outlineLevel="0" max="2" min="2" style="1" width="25.71"/>
    <col collapsed="false" customWidth="true" hidden="false" outlineLevel="0" max="3" min="3" style="1" width="7.71"/>
    <col collapsed="false" customWidth="true" hidden="true" outlineLevel="0" max="4" min="4" style="1" width="11.57"/>
    <col collapsed="false" customWidth="true" hidden="false" outlineLevel="0" max="5" min="5" style="1" width="4.29"/>
    <col collapsed="false" customWidth="true" hidden="true" outlineLevel="0" max="6" min="6" style="1" width="11.57"/>
    <col collapsed="false" customWidth="true" hidden="false" outlineLevel="0" max="7" min="7" style="1" width="10.71"/>
    <col collapsed="false" customWidth="true" hidden="true" outlineLevel="0" max="8" min="8" style="1" width="11.57"/>
    <col collapsed="false" customWidth="true" hidden="false" outlineLevel="0" max="9" min="9" style="1" width="4.86"/>
    <col collapsed="false" customWidth="true" hidden="true" outlineLevel="0" max="10" min="10" style="1" width="11.57"/>
    <col collapsed="false" customWidth="true" hidden="false" outlineLevel="0" max="11" min="11" style="1" width="11.14"/>
    <col collapsed="false" customWidth="true" hidden="true" outlineLevel="0" max="12" min="12" style="1" width="11.57"/>
    <col collapsed="false" customWidth="true" hidden="false" outlineLevel="0" max="13" min="13" style="1" width="25.71"/>
    <col collapsed="false" customWidth="true" hidden="true" outlineLevel="0" max="14" min="14" style="1" width="11.57"/>
    <col collapsed="false" customWidth="true" hidden="false" outlineLevel="0" max="15" min="15" style="1" width="12.71"/>
    <col collapsed="false" customWidth="true" hidden="true" outlineLevel="0" max="24" min="16" style="1" width="11.57"/>
    <col collapsed="false" customWidth="true" hidden="false" outlineLevel="0" max="25" min="25" style="1" width="8.71"/>
    <col collapsed="false" customWidth="true" hidden="true" outlineLevel="0" max="30" min="26" style="1" width="11.57"/>
    <col collapsed="false" customWidth="true" hidden="false" outlineLevel="0" max="31" min="31" style="1" width="7.71"/>
    <col collapsed="false" customWidth="true" hidden="true" outlineLevel="0" max="36" min="32" style="1" width="5.57"/>
    <col collapsed="false" customWidth="true" hidden="false" outlineLevel="0" max="37" min="37" style="1" width="34.86"/>
    <col collapsed="false" customWidth="true" hidden="true" outlineLevel="0" max="38" min="38" style="1" width="10.58"/>
    <col collapsed="false" customWidth="true" hidden="true" outlineLevel="0" max="39" min="39" style="127" width="12.71"/>
    <col collapsed="false" customWidth="true" hidden="false" outlineLevel="0" max="40" min="40" style="1" width="25.14"/>
    <col collapsed="false" customWidth="false" hidden="false" outlineLevel="0" max="1024" min="41" style="1" width="9.14"/>
  </cols>
  <sheetData>
    <row r="2" customFormat="false" ht="15" hidden="false" customHeight="false" outlineLevel="0" collapsed="false">
      <c r="B2" s="4" t="s">
        <v>144</v>
      </c>
      <c r="E2" s="128" t="s">
        <v>167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customFormat="false" ht="15" hidden="true" customHeight="false" outlineLevel="0" collapsed="false">
      <c r="B3" s="4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</row>
    <row r="4" customFormat="false" ht="15" hidden="true" customHeight="false" outlineLevel="0" collapsed="false">
      <c r="B4" s="4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</row>
    <row r="5" customFormat="false" ht="15" hidden="true" customHeight="false" outlineLevel="0" collapsed="false">
      <c r="B5" s="4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</row>
    <row r="6" customFormat="false" ht="15" hidden="true" customHeight="false" outlineLevel="0" collapsed="false">
      <c r="B6" s="4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</row>
    <row r="7" customFormat="false" ht="15" hidden="true" customHeight="false" outlineLevel="0" collapsed="false">
      <c r="B7" s="4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</row>
    <row r="9" customFormat="false" ht="15.75" hidden="false" customHeight="false" outlineLevel="0" collapsed="false">
      <c r="B9" s="130" t="s">
        <v>171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</row>
    <row r="10" customFormat="false" ht="15" hidden="true" customHeight="false" outlineLevel="0" collapsed="false"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</row>
    <row r="11" customFormat="false" ht="15" hidden="true" customHeight="false" outlineLevel="0" collapsed="false">
      <c r="B11" s="132" t="s">
        <v>146</v>
      </c>
      <c r="C11" s="133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</row>
    <row r="12" customFormat="false" ht="37.5" hidden="true" customHeight="true" outlineLevel="0" collapsed="false">
      <c r="B12" s="134" t="str">
        <f aca="false">ALI!B12</f>
        <v>Evite editar os dados apresentados, cadastrar novas funcionalidades e/ou alterar seus dados. Esta planilha não realiza cálculos nas funções. Os dados da função foram exportados do Pontua, inclusive a Complexidade e o PF. O valor do PF foi calculado conforme Roteiro de Métricas informado na Contagem cadastrada na aplicação. Do Item de Roteiro é feita a equivalência para Tipo de Demanda e Classificação.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</row>
    <row r="13" customFormat="false" ht="19.5" hidden="true" customHeight="true" outlineLevel="0" collapsed="false">
      <c r="B13" s="135" t="str">
        <f aca="false">ALI!B13</f>
        <v>¹ Em caso de cópia de Tipo de Demanda e/ou Classificação – colar o conteúdo em modo texto puro pois as células possuem fórmulas (menu “Editar” - “Colar Especial...” - “Texto”)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</row>
    <row r="14" customFormat="false" ht="21" hidden="true" customHeight="true" outlineLevel="0" collapsed="false">
      <c r="B14" s="135" t="str">
        <f aca="false">ALI!B14</f>
        <v>Caso seja necessário transfira o conteúdo para a planilha do respectivo cliente. As planilhas podem ser obtidas na página do Escritório de Métricas: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</row>
    <row r="15" customFormat="false" ht="21.75" hidden="true" customHeight="true" outlineLevel="0" collapsed="false">
      <c r="B15" s="173" t="str">
        <f aca="false">ALI!B15</f>
        <v>https://gitcorporativo.serpro/supde/SUPDE-EMPF/wikis/home 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</row>
    <row r="16" customFormat="false" ht="15.75" hidden="false" customHeight="false" outlineLevel="0" collapsed="false"/>
    <row r="17" customFormat="false" ht="45" hidden="false" customHeight="true" outlineLevel="0" collapsed="false">
      <c r="B17" s="174" t="s">
        <v>172</v>
      </c>
      <c r="C17" s="174"/>
      <c r="D17" s="175"/>
      <c r="E17" s="176" t="s">
        <v>173</v>
      </c>
      <c r="F17" s="177"/>
      <c r="G17" s="140" t="s">
        <v>174</v>
      </c>
      <c r="H17" s="177"/>
      <c r="I17" s="176" t="s">
        <v>154</v>
      </c>
      <c r="J17" s="177"/>
      <c r="K17" s="140" t="s">
        <v>155</v>
      </c>
      <c r="L17" s="178"/>
      <c r="M17" s="179" t="s">
        <v>156</v>
      </c>
      <c r="N17" s="178"/>
      <c r="O17" s="179" t="s">
        <v>157</v>
      </c>
      <c r="P17" s="178"/>
      <c r="Q17" s="178"/>
      <c r="R17" s="178"/>
      <c r="S17" s="178"/>
      <c r="T17" s="178"/>
      <c r="U17" s="178"/>
      <c r="V17" s="178"/>
      <c r="W17" s="178"/>
      <c r="X17" s="178"/>
      <c r="Y17" s="179" t="s">
        <v>158</v>
      </c>
      <c r="Z17" s="178"/>
      <c r="AA17" s="178"/>
      <c r="AB17" s="178"/>
      <c r="AC17" s="178"/>
      <c r="AD17" s="178"/>
      <c r="AE17" s="179" t="s">
        <v>159</v>
      </c>
      <c r="AF17" s="178" t="s">
        <v>160</v>
      </c>
      <c r="AG17" s="178"/>
      <c r="AH17" s="178"/>
      <c r="AI17" s="178"/>
      <c r="AJ17" s="178"/>
      <c r="AK17" s="140" t="s">
        <v>161</v>
      </c>
      <c r="AL17" s="180"/>
      <c r="AM17" s="145" t="s">
        <v>175</v>
      </c>
      <c r="AN17" s="140" t="s">
        <v>162</v>
      </c>
      <c r="AO17" s="181"/>
    </row>
    <row r="18" customFormat="false" ht="15.75" hidden="false" customHeight="false" outlineLevel="0" collapsed="false"/>
    <row r="19" customFormat="false" ht="15" hidden="false" customHeight="false" outlineLevel="0" collapsed="false">
      <c r="B19" s="147"/>
      <c r="C19" s="147"/>
      <c r="D19" s="148"/>
      <c r="E19" s="148"/>
      <c r="F19" s="148"/>
      <c r="G19" s="148"/>
      <c r="H19" s="148"/>
      <c r="I19" s="148"/>
      <c r="J19" s="148"/>
      <c r="K19" s="148"/>
      <c r="L19" s="148" t="s">
        <v>10</v>
      </c>
      <c r="M19" s="149" t="str">
        <f aca="false">IF(ISBLANK(AM19),'Item-Roteiro_PONTUA'!$B$20,VLOOKUP(AM19,'Item-Roteiro_PONTUA'!$A$2:$C$86,2,0))</f>
        <v>Desenvolvimento</v>
      </c>
      <c r="N19" s="148" t="s">
        <v>10</v>
      </c>
      <c r="O19" s="149" t="str">
        <f aca="false">IF(ISBLANK(AM19),'Item-Roteiro_PONTUA'!$C$20,VLOOKUP(AM19,'Item-Roteiro_PONTUA'!$A$2:$C$86,3,0))</f>
        <v>Incluída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50"/>
      <c r="Z19" s="148"/>
      <c r="AA19" s="148"/>
      <c r="AB19" s="148"/>
      <c r="AC19" s="148"/>
      <c r="AD19" s="148"/>
      <c r="AE19" s="150"/>
      <c r="AF19" s="151" t="str">
        <f aca="false">IF(Y19="Baixa",7,IF(Y19="Média",10,IF(Y19="Alta",15,"*")))</f>
        <v>*</v>
      </c>
      <c r="AG19" s="152"/>
      <c r="AH19" s="152"/>
      <c r="AI19" s="152"/>
      <c r="AJ19" s="152"/>
      <c r="AK19" s="153"/>
      <c r="AL19" s="1" t="s">
        <v>10</v>
      </c>
      <c r="AM19" s="154"/>
      <c r="AN19" s="153"/>
      <c r="AO19" s="154"/>
    </row>
    <row r="20" customFormat="false" ht="15" hidden="false" customHeight="false" outlineLevel="0" collapsed="false">
      <c r="B20" s="147"/>
      <c r="C20" s="147"/>
      <c r="D20" s="148"/>
      <c r="E20" s="148"/>
      <c r="F20" s="148"/>
      <c r="G20" s="148"/>
      <c r="H20" s="148"/>
      <c r="I20" s="148"/>
      <c r="J20" s="148"/>
      <c r="K20" s="148"/>
      <c r="L20" s="148"/>
      <c r="M20" s="149" t="str">
        <f aca="false">IF(ISBLANK(AM20),'Item-Roteiro_PONTUA'!$B$20,VLOOKUP(AM20,'Item-Roteiro_PONTUA'!$A$2:$C$86,2,0))</f>
        <v>Desenvolvimento</v>
      </c>
      <c r="N20" s="148" t="s">
        <v>10</v>
      </c>
      <c r="O20" s="149" t="str">
        <f aca="false">IF(ISBLANK(AM20),'Item-Roteiro_PONTUA'!$C$20,VLOOKUP(AM20,'Item-Roteiro_PONTUA'!$A$2:$C$86,3,0))</f>
        <v>Incluída</v>
      </c>
      <c r="P20" s="147"/>
      <c r="Q20" s="147"/>
      <c r="R20" s="147"/>
      <c r="S20" s="147"/>
      <c r="T20" s="147"/>
      <c r="U20" s="147"/>
      <c r="V20" s="147"/>
      <c r="W20" s="147"/>
      <c r="X20" s="147"/>
      <c r="Y20" s="150"/>
      <c r="Z20" s="148"/>
      <c r="AA20" s="148"/>
      <c r="AB20" s="148"/>
      <c r="AC20" s="148"/>
      <c r="AD20" s="148"/>
      <c r="AE20" s="150"/>
      <c r="AF20" s="151"/>
      <c r="AG20" s="152"/>
      <c r="AH20" s="152"/>
      <c r="AI20" s="152"/>
      <c r="AJ20" s="152"/>
      <c r="AK20" s="153"/>
      <c r="AM20" s="155"/>
      <c r="AN20" s="153"/>
      <c r="AO20" s="155"/>
    </row>
    <row r="21" customFormat="false" ht="15" hidden="false" customHeight="false" outlineLevel="0" collapsed="false">
      <c r="B21" s="147"/>
      <c r="C21" s="147"/>
      <c r="D21" s="148"/>
      <c r="E21" s="148"/>
      <c r="F21" s="148"/>
      <c r="G21" s="148"/>
      <c r="H21" s="148"/>
      <c r="I21" s="148"/>
      <c r="J21" s="148"/>
      <c r="K21" s="148"/>
      <c r="L21" s="148"/>
      <c r="M21" s="149" t="str">
        <f aca="false">IF(ISBLANK(AM21),'Item-Roteiro_PONTUA'!$B$20,VLOOKUP(AM21,'Item-Roteiro_PONTUA'!$A$2:$C$86,2,0))</f>
        <v>Desenvolvimento</v>
      </c>
      <c r="N21" s="148" t="s">
        <v>10</v>
      </c>
      <c r="O21" s="149" t="str">
        <f aca="false">IF(ISBLANK(AM21),'Item-Roteiro_PONTUA'!$C$20,VLOOKUP(AM21,'Item-Roteiro_PONTUA'!$A$2:$C$86,3,0))</f>
        <v>Incluída</v>
      </c>
      <c r="P21" s="147"/>
      <c r="Q21" s="147"/>
      <c r="R21" s="147"/>
      <c r="S21" s="147"/>
      <c r="T21" s="147"/>
      <c r="U21" s="147"/>
      <c r="V21" s="147"/>
      <c r="W21" s="147"/>
      <c r="X21" s="147"/>
      <c r="Y21" s="150"/>
      <c r="Z21" s="148"/>
      <c r="AA21" s="148"/>
      <c r="AB21" s="148"/>
      <c r="AC21" s="148"/>
      <c r="AD21" s="148"/>
      <c r="AE21" s="150"/>
      <c r="AF21" s="151"/>
      <c r="AG21" s="152"/>
      <c r="AH21" s="152"/>
      <c r="AI21" s="152"/>
      <c r="AJ21" s="152"/>
      <c r="AK21" s="153"/>
      <c r="AM21" s="155"/>
      <c r="AN21" s="153"/>
      <c r="AO21" s="155"/>
    </row>
    <row r="22" customFormat="false" ht="15" hidden="false" customHeight="false" outlineLevel="0" collapsed="false">
      <c r="B22" s="147"/>
      <c r="C22" s="147"/>
      <c r="D22" s="148"/>
      <c r="E22" s="148"/>
      <c r="F22" s="148"/>
      <c r="G22" s="148"/>
      <c r="H22" s="148"/>
      <c r="I22" s="148"/>
      <c r="J22" s="148"/>
      <c r="K22" s="148"/>
      <c r="L22" s="148"/>
      <c r="M22" s="149" t="str">
        <f aca="false">IF(ISBLANK(AM22),'Item-Roteiro_PONTUA'!$B$20,VLOOKUP(AM22,'Item-Roteiro_PONTUA'!$A$2:$C$86,2,0))</f>
        <v>Desenvolvimento</v>
      </c>
      <c r="N22" s="148" t="s">
        <v>10</v>
      </c>
      <c r="O22" s="149" t="str">
        <f aca="false">IF(ISBLANK(AM22),'Item-Roteiro_PONTUA'!$C$20,VLOOKUP(AM22,'Item-Roteiro_PONTUA'!$A$2:$C$86,3,0))</f>
        <v>Incluída</v>
      </c>
      <c r="P22" s="147"/>
      <c r="Q22" s="147"/>
      <c r="R22" s="147"/>
      <c r="S22" s="147"/>
      <c r="T22" s="147"/>
      <c r="U22" s="147"/>
      <c r="V22" s="147"/>
      <c r="W22" s="147"/>
      <c r="X22" s="147"/>
      <c r="Y22" s="150"/>
      <c r="Z22" s="148"/>
      <c r="AA22" s="148"/>
      <c r="AB22" s="148"/>
      <c r="AC22" s="148"/>
      <c r="AD22" s="148"/>
      <c r="AE22" s="150"/>
      <c r="AF22" s="151"/>
      <c r="AG22" s="152"/>
      <c r="AH22" s="152"/>
      <c r="AI22" s="152"/>
      <c r="AJ22" s="152"/>
      <c r="AK22" s="153"/>
      <c r="AM22" s="155"/>
      <c r="AN22" s="153"/>
      <c r="AO22" s="155"/>
    </row>
    <row r="23" customFormat="false" ht="15" hidden="false" customHeight="false" outlineLevel="0" collapsed="false">
      <c r="B23" s="147"/>
      <c r="C23" s="147"/>
      <c r="D23" s="148"/>
      <c r="E23" s="148"/>
      <c r="F23" s="148"/>
      <c r="G23" s="148"/>
      <c r="H23" s="148"/>
      <c r="I23" s="148"/>
      <c r="J23" s="148"/>
      <c r="K23" s="148"/>
      <c r="L23" s="148"/>
      <c r="M23" s="149" t="str">
        <f aca="false">IF(ISBLANK(AM23),'Item-Roteiro_PONTUA'!$B$20,VLOOKUP(AM23,'Item-Roteiro_PONTUA'!$A$2:$C$86,2,0))</f>
        <v>Desenvolvimento</v>
      </c>
      <c r="N23" s="148" t="s">
        <v>10</v>
      </c>
      <c r="O23" s="149" t="str">
        <f aca="false">IF(ISBLANK(AM23),'Item-Roteiro_PONTUA'!$C$20,VLOOKUP(AM23,'Item-Roteiro_PONTUA'!$A$2:$C$86,3,0))</f>
        <v>Incluída</v>
      </c>
      <c r="P23" s="147"/>
      <c r="Q23" s="147"/>
      <c r="R23" s="147"/>
      <c r="S23" s="147"/>
      <c r="T23" s="147"/>
      <c r="U23" s="147"/>
      <c r="V23" s="147"/>
      <c r="W23" s="147"/>
      <c r="X23" s="147"/>
      <c r="Y23" s="150"/>
      <c r="Z23" s="148"/>
      <c r="AA23" s="148"/>
      <c r="AB23" s="148"/>
      <c r="AC23" s="148"/>
      <c r="AD23" s="148"/>
      <c r="AE23" s="150"/>
      <c r="AF23" s="151"/>
      <c r="AG23" s="152"/>
      <c r="AH23" s="152"/>
      <c r="AI23" s="152"/>
      <c r="AJ23" s="152"/>
      <c r="AK23" s="153"/>
      <c r="AM23" s="155"/>
      <c r="AN23" s="153"/>
      <c r="AO23" s="155"/>
    </row>
    <row r="24" customFormat="false" ht="15" hidden="false" customHeight="false" outlineLevel="0" collapsed="false">
      <c r="B24" s="147"/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9" t="str">
        <f aca="false">IF(ISBLANK(AM24),'Item-Roteiro_PONTUA'!$B$20,VLOOKUP(AM24,'Item-Roteiro_PONTUA'!$A$2:$C$86,2,0))</f>
        <v>Desenvolvimento</v>
      </c>
      <c r="N24" s="148" t="s">
        <v>10</v>
      </c>
      <c r="O24" s="149" t="str">
        <f aca="false">IF(ISBLANK(AM24),'Item-Roteiro_PONTUA'!$C$20,VLOOKUP(AM24,'Item-Roteiro_PONTUA'!$A$2:$C$86,3,0))</f>
        <v>Incluída</v>
      </c>
      <c r="P24" s="147"/>
      <c r="Q24" s="147"/>
      <c r="R24" s="147"/>
      <c r="S24" s="147"/>
      <c r="T24" s="147"/>
      <c r="U24" s="147"/>
      <c r="V24" s="147"/>
      <c r="W24" s="147"/>
      <c r="X24" s="147"/>
      <c r="Y24" s="150"/>
      <c r="Z24" s="148"/>
      <c r="AA24" s="148"/>
      <c r="AB24" s="148"/>
      <c r="AC24" s="148"/>
      <c r="AD24" s="148"/>
      <c r="AE24" s="150"/>
      <c r="AF24" s="151"/>
      <c r="AG24" s="152"/>
      <c r="AH24" s="152"/>
      <c r="AI24" s="152"/>
      <c r="AJ24" s="152"/>
      <c r="AK24" s="153"/>
      <c r="AM24" s="155"/>
      <c r="AN24" s="153"/>
      <c r="AO24" s="155"/>
    </row>
    <row r="25" customFormat="false" ht="15" hidden="false" customHeight="false" outlineLevel="0" collapsed="false">
      <c r="B25" s="147"/>
      <c r="C25" s="147"/>
      <c r="D25" s="148"/>
      <c r="E25" s="148"/>
      <c r="F25" s="148"/>
      <c r="G25" s="148"/>
      <c r="H25" s="148"/>
      <c r="I25" s="148"/>
      <c r="J25" s="148"/>
      <c r="K25" s="148"/>
      <c r="L25" s="148"/>
      <c r="M25" s="149" t="str">
        <f aca="false">IF(ISBLANK(AM25),'Item-Roteiro_PONTUA'!$B$20,VLOOKUP(AM25,'Item-Roteiro_PONTUA'!$A$2:$C$86,2,0))</f>
        <v>Desenvolvimento</v>
      </c>
      <c r="N25" s="148" t="s">
        <v>10</v>
      </c>
      <c r="O25" s="149" t="str">
        <f aca="false">IF(ISBLANK(AM25),'Item-Roteiro_PONTUA'!$C$20,VLOOKUP(AM25,'Item-Roteiro_PONTUA'!$A$2:$C$86,3,0))</f>
        <v>Incluída</v>
      </c>
      <c r="P25" s="147"/>
      <c r="Q25" s="147"/>
      <c r="R25" s="147"/>
      <c r="S25" s="147"/>
      <c r="T25" s="147"/>
      <c r="U25" s="147"/>
      <c r="V25" s="147"/>
      <c r="W25" s="147"/>
      <c r="X25" s="147"/>
      <c r="Y25" s="150"/>
      <c r="Z25" s="148"/>
      <c r="AA25" s="148"/>
      <c r="AB25" s="148"/>
      <c r="AC25" s="148"/>
      <c r="AD25" s="148"/>
      <c r="AE25" s="150"/>
      <c r="AF25" s="151"/>
      <c r="AG25" s="152"/>
      <c r="AH25" s="152"/>
      <c r="AI25" s="152"/>
      <c r="AJ25" s="152"/>
      <c r="AK25" s="153"/>
      <c r="AM25" s="155"/>
      <c r="AN25" s="153"/>
      <c r="AO25" s="155"/>
    </row>
    <row r="26" customFormat="false" ht="15" hidden="false" customHeight="false" outlineLevel="0" collapsed="false">
      <c r="B26" s="147"/>
      <c r="C26" s="147"/>
      <c r="D26" s="148"/>
      <c r="E26" s="148"/>
      <c r="F26" s="148"/>
      <c r="G26" s="148"/>
      <c r="H26" s="148"/>
      <c r="I26" s="148"/>
      <c r="J26" s="148"/>
      <c r="K26" s="148"/>
      <c r="L26" s="148"/>
      <c r="M26" s="149" t="str">
        <f aca="false">IF(ISBLANK(AM26),'Item-Roteiro_PONTUA'!$B$20,VLOOKUP(AM26,'Item-Roteiro_PONTUA'!$A$2:$C$86,2,0))</f>
        <v>Desenvolvimento</v>
      </c>
      <c r="N26" s="148" t="s">
        <v>10</v>
      </c>
      <c r="O26" s="149" t="str">
        <f aca="false">IF(ISBLANK(AM26),'Item-Roteiro_PONTUA'!$C$20,VLOOKUP(AM26,'Item-Roteiro_PONTUA'!$A$2:$C$86,3,0))</f>
        <v>Incluída</v>
      </c>
      <c r="P26" s="147"/>
      <c r="Q26" s="147"/>
      <c r="R26" s="147"/>
      <c r="S26" s="147"/>
      <c r="T26" s="147"/>
      <c r="U26" s="147"/>
      <c r="V26" s="147"/>
      <c r="W26" s="147"/>
      <c r="X26" s="147"/>
      <c r="Y26" s="150"/>
      <c r="Z26" s="148"/>
      <c r="AA26" s="148"/>
      <c r="AB26" s="148"/>
      <c r="AC26" s="148"/>
      <c r="AD26" s="148"/>
      <c r="AE26" s="150"/>
      <c r="AF26" s="151"/>
      <c r="AG26" s="152"/>
      <c r="AH26" s="152"/>
      <c r="AI26" s="152"/>
      <c r="AJ26" s="152"/>
      <c r="AK26" s="153"/>
      <c r="AM26" s="155"/>
      <c r="AN26" s="153"/>
      <c r="AO26" s="155"/>
    </row>
    <row r="27" customFormat="false" ht="15" hidden="false" customHeight="false" outlineLevel="0" collapsed="false">
      <c r="B27" s="147"/>
      <c r="C27" s="147"/>
      <c r="D27" s="148"/>
      <c r="E27" s="148"/>
      <c r="F27" s="148"/>
      <c r="G27" s="148"/>
      <c r="H27" s="148"/>
      <c r="I27" s="148"/>
      <c r="J27" s="148"/>
      <c r="K27" s="148"/>
      <c r="L27" s="148"/>
      <c r="M27" s="149" t="str">
        <f aca="false">IF(ISBLANK(AM27),'Item-Roteiro_PONTUA'!$B$20,VLOOKUP(AM27,'Item-Roteiro_PONTUA'!$A$2:$C$86,2,0))</f>
        <v>Desenvolvimento</v>
      </c>
      <c r="N27" s="148" t="s">
        <v>10</v>
      </c>
      <c r="O27" s="149" t="str">
        <f aca="false">IF(ISBLANK(AM27),'Item-Roteiro_PONTUA'!$C$20,VLOOKUP(AM27,'Item-Roteiro_PONTUA'!$A$2:$C$86,3,0))</f>
        <v>Incluída</v>
      </c>
      <c r="P27" s="147"/>
      <c r="Q27" s="147"/>
      <c r="R27" s="147"/>
      <c r="S27" s="147"/>
      <c r="T27" s="147"/>
      <c r="U27" s="147"/>
      <c r="V27" s="147"/>
      <c r="W27" s="147"/>
      <c r="X27" s="147"/>
      <c r="Y27" s="150"/>
      <c r="Z27" s="148"/>
      <c r="AA27" s="148"/>
      <c r="AB27" s="148"/>
      <c r="AC27" s="148"/>
      <c r="AD27" s="148"/>
      <c r="AE27" s="150"/>
      <c r="AF27" s="151"/>
      <c r="AG27" s="152"/>
      <c r="AH27" s="152"/>
      <c r="AI27" s="152"/>
      <c r="AJ27" s="152"/>
      <c r="AK27" s="153"/>
      <c r="AM27" s="155"/>
      <c r="AN27" s="153"/>
      <c r="AO27" s="155"/>
    </row>
    <row r="28" customFormat="false" ht="15" hidden="false" customHeight="false" outlineLevel="0" collapsed="false">
      <c r="B28" s="147"/>
      <c r="C28" s="147"/>
      <c r="D28" s="148"/>
      <c r="E28" s="148"/>
      <c r="F28" s="148"/>
      <c r="G28" s="148"/>
      <c r="H28" s="148"/>
      <c r="I28" s="148"/>
      <c r="J28" s="148"/>
      <c r="K28" s="148"/>
      <c r="L28" s="148"/>
      <c r="M28" s="149" t="str">
        <f aca="false">IF(ISBLANK(AM28),'Item-Roteiro_PONTUA'!$B$20,VLOOKUP(AM28,'Item-Roteiro_PONTUA'!$A$2:$C$86,2,0))</f>
        <v>Desenvolvimento</v>
      </c>
      <c r="N28" s="148" t="s">
        <v>10</v>
      </c>
      <c r="O28" s="149" t="str">
        <f aca="false">IF(ISBLANK(AM28),'Item-Roteiro_PONTUA'!$C$20,VLOOKUP(AM28,'Item-Roteiro_PONTUA'!$A$2:$C$86,3,0))</f>
        <v>Incluída</v>
      </c>
      <c r="P28" s="147"/>
      <c r="Q28" s="147"/>
      <c r="R28" s="147"/>
      <c r="S28" s="147"/>
      <c r="T28" s="147"/>
      <c r="U28" s="147"/>
      <c r="V28" s="147"/>
      <c r="W28" s="147"/>
      <c r="X28" s="147"/>
      <c r="Y28" s="150"/>
      <c r="Z28" s="148"/>
      <c r="AA28" s="148"/>
      <c r="AB28" s="148"/>
      <c r="AC28" s="148"/>
      <c r="AD28" s="148"/>
      <c r="AE28" s="150"/>
      <c r="AF28" s="151"/>
      <c r="AG28" s="152"/>
      <c r="AH28" s="152"/>
      <c r="AI28" s="152"/>
      <c r="AJ28" s="152"/>
      <c r="AK28" s="153"/>
      <c r="AM28" s="155"/>
      <c r="AN28" s="153"/>
      <c r="AO28" s="155"/>
    </row>
    <row r="29" customFormat="false" ht="15" hidden="false" customHeight="false" outlineLevel="0" collapsed="false">
      <c r="B29" s="147"/>
      <c r="C29" s="147"/>
      <c r="D29" s="148"/>
      <c r="E29" s="148"/>
      <c r="F29" s="148"/>
      <c r="G29" s="148"/>
      <c r="H29" s="148"/>
      <c r="I29" s="148"/>
      <c r="J29" s="148"/>
      <c r="K29" s="148"/>
      <c r="L29" s="148"/>
      <c r="M29" s="149" t="str">
        <f aca="false">IF(ISBLANK(AM29),'Item-Roteiro_PONTUA'!$B$20,VLOOKUP(AM29,'Item-Roteiro_PONTUA'!$A$2:$C$86,2,0))</f>
        <v>Desenvolvimento</v>
      </c>
      <c r="N29" s="148" t="s">
        <v>10</v>
      </c>
      <c r="O29" s="149" t="str">
        <f aca="false">IF(ISBLANK(AM29),'Item-Roteiro_PONTUA'!$C$20,VLOOKUP(AM29,'Item-Roteiro_PONTUA'!$A$2:$C$86,3,0))</f>
        <v>Incluída</v>
      </c>
      <c r="P29" s="147"/>
      <c r="Q29" s="147"/>
      <c r="R29" s="147"/>
      <c r="S29" s="147"/>
      <c r="T29" s="147"/>
      <c r="U29" s="147"/>
      <c r="V29" s="147"/>
      <c r="W29" s="147"/>
      <c r="X29" s="147"/>
      <c r="Y29" s="150"/>
      <c r="Z29" s="148"/>
      <c r="AA29" s="148"/>
      <c r="AB29" s="148"/>
      <c r="AC29" s="148"/>
      <c r="AD29" s="148"/>
      <c r="AE29" s="150"/>
      <c r="AF29" s="151"/>
      <c r="AG29" s="152"/>
      <c r="AH29" s="152"/>
      <c r="AI29" s="152"/>
      <c r="AJ29" s="152"/>
      <c r="AK29" s="153"/>
      <c r="AM29" s="155"/>
      <c r="AN29" s="153"/>
      <c r="AO29" s="155"/>
    </row>
    <row r="30" customFormat="false" ht="15" hidden="false" customHeight="false" outlineLevel="0" collapsed="false">
      <c r="B30" s="147"/>
      <c r="C30" s="147"/>
      <c r="D30" s="148"/>
      <c r="E30" s="148"/>
      <c r="F30" s="148"/>
      <c r="G30" s="148"/>
      <c r="H30" s="148"/>
      <c r="I30" s="148"/>
      <c r="J30" s="148"/>
      <c r="K30" s="148"/>
      <c r="L30" s="148"/>
      <c r="M30" s="149" t="str">
        <f aca="false">IF(ISBLANK(AM30),'Item-Roteiro_PONTUA'!$B$20,VLOOKUP(AM30,'Item-Roteiro_PONTUA'!$A$2:$C$86,2,0))</f>
        <v>Desenvolvimento</v>
      </c>
      <c r="N30" s="148" t="s">
        <v>10</v>
      </c>
      <c r="O30" s="149" t="str">
        <f aca="false">IF(ISBLANK(AM30),'Item-Roteiro_PONTUA'!$C$20,VLOOKUP(AM30,'Item-Roteiro_PONTUA'!$A$2:$C$86,3,0))</f>
        <v>Incluída</v>
      </c>
      <c r="P30" s="147"/>
      <c r="Q30" s="147"/>
      <c r="R30" s="147"/>
      <c r="S30" s="147"/>
      <c r="T30" s="147"/>
      <c r="U30" s="147"/>
      <c r="V30" s="147"/>
      <c r="W30" s="147"/>
      <c r="X30" s="147"/>
      <c r="Y30" s="150"/>
      <c r="Z30" s="148"/>
      <c r="AA30" s="148"/>
      <c r="AB30" s="148"/>
      <c r="AC30" s="148"/>
      <c r="AD30" s="148"/>
      <c r="AE30" s="150"/>
      <c r="AF30" s="151"/>
      <c r="AG30" s="152"/>
      <c r="AH30" s="152"/>
      <c r="AI30" s="152"/>
      <c r="AJ30" s="152"/>
      <c r="AK30" s="153"/>
      <c r="AM30" s="155"/>
      <c r="AN30" s="153"/>
      <c r="AO30" s="155"/>
    </row>
    <row r="31" customFormat="false" ht="15" hidden="false" customHeight="false" outlineLevel="0" collapsed="false">
      <c r="B31" s="147"/>
      <c r="C31" s="147"/>
      <c r="D31" s="148"/>
      <c r="E31" s="148"/>
      <c r="F31" s="148"/>
      <c r="G31" s="148"/>
      <c r="H31" s="148"/>
      <c r="I31" s="148"/>
      <c r="J31" s="148"/>
      <c r="K31" s="148"/>
      <c r="L31" s="148"/>
      <c r="M31" s="149" t="str">
        <f aca="false">IF(ISBLANK(AM31),'Item-Roteiro_PONTUA'!$B$20,VLOOKUP(AM31,'Item-Roteiro_PONTUA'!$A$2:$C$86,2,0))</f>
        <v>Desenvolvimento</v>
      </c>
      <c r="N31" s="148" t="s">
        <v>10</v>
      </c>
      <c r="O31" s="149" t="str">
        <f aca="false">IF(ISBLANK(AM31),'Item-Roteiro_PONTUA'!$C$20,VLOOKUP(AM31,'Item-Roteiro_PONTUA'!$A$2:$C$86,3,0))</f>
        <v>Incluída</v>
      </c>
      <c r="P31" s="147"/>
      <c r="Q31" s="147"/>
      <c r="R31" s="147"/>
      <c r="S31" s="147"/>
      <c r="T31" s="147"/>
      <c r="U31" s="147"/>
      <c r="V31" s="147"/>
      <c r="W31" s="147"/>
      <c r="X31" s="147"/>
      <c r="Y31" s="150"/>
      <c r="Z31" s="148"/>
      <c r="AA31" s="148"/>
      <c r="AB31" s="148"/>
      <c r="AC31" s="148"/>
      <c r="AD31" s="148"/>
      <c r="AE31" s="150"/>
      <c r="AF31" s="151"/>
      <c r="AG31" s="152"/>
      <c r="AH31" s="152"/>
      <c r="AI31" s="152"/>
      <c r="AJ31" s="152"/>
      <c r="AK31" s="153"/>
      <c r="AM31" s="155"/>
      <c r="AN31" s="153"/>
      <c r="AO31" s="155"/>
    </row>
    <row r="32" customFormat="false" ht="15" hidden="false" customHeight="false" outlineLevel="0" collapsed="false">
      <c r="B32" s="147"/>
      <c r="C32" s="147"/>
      <c r="D32" s="148"/>
      <c r="E32" s="148"/>
      <c r="F32" s="148"/>
      <c r="G32" s="148"/>
      <c r="H32" s="148"/>
      <c r="I32" s="148"/>
      <c r="J32" s="148"/>
      <c r="K32" s="148"/>
      <c r="L32" s="148"/>
      <c r="M32" s="149" t="str">
        <f aca="false">IF(ISBLANK(AM32),'Item-Roteiro_PONTUA'!$B$20,VLOOKUP(AM32,'Item-Roteiro_PONTUA'!$A$2:$C$86,2,0))</f>
        <v>Desenvolvimento</v>
      </c>
      <c r="N32" s="148" t="s">
        <v>10</v>
      </c>
      <c r="O32" s="149" t="str">
        <f aca="false">IF(ISBLANK(AM32),'Item-Roteiro_PONTUA'!$C$20,VLOOKUP(AM32,'Item-Roteiro_PONTUA'!$A$2:$C$86,3,0))</f>
        <v>Incluída</v>
      </c>
      <c r="P32" s="147"/>
      <c r="Q32" s="147"/>
      <c r="R32" s="147"/>
      <c r="S32" s="147"/>
      <c r="T32" s="147"/>
      <c r="U32" s="147"/>
      <c r="V32" s="147"/>
      <c r="W32" s="147"/>
      <c r="X32" s="147"/>
      <c r="Y32" s="150"/>
      <c r="Z32" s="148"/>
      <c r="AA32" s="148"/>
      <c r="AB32" s="148"/>
      <c r="AC32" s="148"/>
      <c r="AD32" s="148"/>
      <c r="AE32" s="150"/>
      <c r="AF32" s="151"/>
      <c r="AG32" s="152"/>
      <c r="AH32" s="152"/>
      <c r="AI32" s="152"/>
      <c r="AJ32" s="152"/>
      <c r="AK32" s="153"/>
      <c r="AM32" s="155"/>
      <c r="AN32" s="153"/>
      <c r="AO32" s="155"/>
    </row>
    <row r="33" customFormat="false" ht="15" hidden="false" customHeight="false" outlineLevel="0" collapsed="false">
      <c r="B33" s="147"/>
      <c r="C33" s="147"/>
      <c r="D33" s="148"/>
      <c r="E33" s="148"/>
      <c r="F33" s="148"/>
      <c r="G33" s="148"/>
      <c r="H33" s="148"/>
      <c r="I33" s="148"/>
      <c r="J33" s="148"/>
      <c r="K33" s="148"/>
      <c r="L33" s="148"/>
      <c r="M33" s="149" t="str">
        <f aca="false">IF(ISBLANK(AM33),'Item-Roteiro_PONTUA'!$B$20,VLOOKUP(AM33,'Item-Roteiro_PONTUA'!$A$2:$C$86,2,0))</f>
        <v>Desenvolvimento</v>
      </c>
      <c r="N33" s="148" t="s">
        <v>10</v>
      </c>
      <c r="O33" s="149" t="str">
        <f aca="false">IF(ISBLANK(AM33),'Item-Roteiro_PONTUA'!$C$20,VLOOKUP(AM33,'Item-Roteiro_PONTUA'!$A$2:$C$86,3,0))</f>
        <v>Incluída</v>
      </c>
      <c r="P33" s="147"/>
      <c r="Q33" s="147"/>
      <c r="R33" s="147"/>
      <c r="S33" s="147"/>
      <c r="T33" s="147"/>
      <c r="U33" s="147"/>
      <c r="V33" s="147"/>
      <c r="W33" s="147"/>
      <c r="X33" s="147"/>
      <c r="Y33" s="150"/>
      <c r="Z33" s="148"/>
      <c r="AA33" s="148"/>
      <c r="AB33" s="148"/>
      <c r="AC33" s="148"/>
      <c r="AD33" s="148"/>
      <c r="AE33" s="150"/>
      <c r="AF33" s="151"/>
      <c r="AG33" s="152"/>
      <c r="AH33" s="152"/>
      <c r="AI33" s="152"/>
      <c r="AJ33" s="152"/>
      <c r="AK33" s="153"/>
      <c r="AM33" s="155"/>
      <c r="AN33" s="153"/>
      <c r="AO33" s="155"/>
    </row>
    <row r="34" customFormat="false" ht="15" hidden="false" customHeight="false" outlineLevel="0" collapsed="false">
      <c r="B34" s="147"/>
      <c r="C34" s="147"/>
      <c r="D34" s="148"/>
      <c r="E34" s="148"/>
      <c r="F34" s="148"/>
      <c r="G34" s="148"/>
      <c r="H34" s="148"/>
      <c r="I34" s="148"/>
      <c r="J34" s="148"/>
      <c r="K34" s="148"/>
      <c r="L34" s="148"/>
      <c r="M34" s="149" t="str">
        <f aca="false">IF(ISBLANK(AM34),'Item-Roteiro_PONTUA'!$B$20,VLOOKUP(AM34,'Item-Roteiro_PONTUA'!$A$2:$C$86,2,0))</f>
        <v>Desenvolvimento</v>
      </c>
      <c r="N34" s="148" t="s">
        <v>10</v>
      </c>
      <c r="O34" s="149" t="str">
        <f aca="false">IF(ISBLANK(AM34),'Item-Roteiro_PONTUA'!$C$20,VLOOKUP(AM34,'Item-Roteiro_PONTUA'!$A$2:$C$86,3,0))</f>
        <v>Incluída</v>
      </c>
      <c r="P34" s="147"/>
      <c r="Q34" s="147"/>
      <c r="R34" s="147"/>
      <c r="S34" s="147"/>
      <c r="T34" s="147"/>
      <c r="U34" s="147"/>
      <c r="V34" s="147"/>
      <c r="W34" s="147"/>
      <c r="X34" s="147"/>
      <c r="Y34" s="150"/>
      <c r="Z34" s="148"/>
      <c r="AA34" s="148"/>
      <c r="AB34" s="148"/>
      <c r="AC34" s="148"/>
      <c r="AD34" s="148"/>
      <c r="AE34" s="150"/>
      <c r="AF34" s="151"/>
      <c r="AG34" s="152"/>
      <c r="AH34" s="152"/>
      <c r="AI34" s="152"/>
      <c r="AJ34" s="152"/>
      <c r="AK34" s="153"/>
      <c r="AM34" s="155"/>
      <c r="AN34" s="153"/>
      <c r="AO34" s="155"/>
    </row>
    <row r="35" customFormat="false" ht="15" hidden="false" customHeight="false" outlineLevel="0" collapsed="false">
      <c r="B35" s="147"/>
      <c r="C35" s="147"/>
      <c r="D35" s="148"/>
      <c r="E35" s="148"/>
      <c r="F35" s="148"/>
      <c r="G35" s="148"/>
      <c r="H35" s="148"/>
      <c r="I35" s="148"/>
      <c r="J35" s="148"/>
      <c r="K35" s="148"/>
      <c r="L35" s="148"/>
      <c r="M35" s="149" t="str">
        <f aca="false">IF(ISBLANK(AM35),'Item-Roteiro_PONTUA'!$B$20,VLOOKUP(AM35,'Item-Roteiro_PONTUA'!$A$2:$C$86,2,0))</f>
        <v>Desenvolvimento</v>
      </c>
      <c r="N35" s="148" t="s">
        <v>10</v>
      </c>
      <c r="O35" s="149" t="str">
        <f aca="false">IF(ISBLANK(AM35),'Item-Roteiro_PONTUA'!$C$20,VLOOKUP(AM35,'Item-Roteiro_PONTUA'!$A$2:$C$86,3,0))</f>
        <v>Incluída</v>
      </c>
      <c r="P35" s="147"/>
      <c r="Q35" s="147"/>
      <c r="R35" s="147"/>
      <c r="S35" s="147"/>
      <c r="T35" s="147"/>
      <c r="U35" s="147"/>
      <c r="V35" s="147"/>
      <c r="W35" s="147"/>
      <c r="X35" s="147"/>
      <c r="Y35" s="150"/>
      <c r="Z35" s="148"/>
      <c r="AA35" s="148"/>
      <c r="AB35" s="148"/>
      <c r="AC35" s="148"/>
      <c r="AD35" s="148"/>
      <c r="AE35" s="150"/>
      <c r="AF35" s="151"/>
      <c r="AG35" s="152"/>
      <c r="AH35" s="152"/>
      <c r="AI35" s="152"/>
      <c r="AJ35" s="152"/>
      <c r="AK35" s="153"/>
      <c r="AM35" s="155"/>
      <c r="AN35" s="153"/>
      <c r="AO35" s="155"/>
    </row>
    <row r="36" customFormat="false" ht="15" hidden="false" customHeight="false" outlineLevel="0" collapsed="false">
      <c r="B36" s="147"/>
      <c r="C36" s="147"/>
      <c r="D36" s="148"/>
      <c r="E36" s="148"/>
      <c r="F36" s="148"/>
      <c r="G36" s="148"/>
      <c r="H36" s="148"/>
      <c r="I36" s="148"/>
      <c r="J36" s="148"/>
      <c r="K36" s="148"/>
      <c r="L36" s="148"/>
      <c r="M36" s="149" t="str">
        <f aca="false">IF(ISBLANK(AM36),'Item-Roteiro_PONTUA'!$B$20,VLOOKUP(AM36,'Item-Roteiro_PONTUA'!$A$2:$C$86,2,0))</f>
        <v>Desenvolvimento</v>
      </c>
      <c r="N36" s="148" t="s">
        <v>10</v>
      </c>
      <c r="O36" s="149" t="str">
        <f aca="false">IF(ISBLANK(AM36),'Item-Roteiro_PONTUA'!$C$20,VLOOKUP(AM36,'Item-Roteiro_PONTUA'!$A$2:$C$86,3,0))</f>
        <v>Incluída</v>
      </c>
      <c r="P36" s="147"/>
      <c r="Q36" s="147"/>
      <c r="R36" s="147"/>
      <c r="S36" s="147"/>
      <c r="T36" s="147"/>
      <c r="U36" s="147"/>
      <c r="V36" s="147"/>
      <c r="W36" s="147"/>
      <c r="X36" s="147"/>
      <c r="Y36" s="150"/>
      <c r="Z36" s="148"/>
      <c r="AA36" s="148"/>
      <c r="AB36" s="148"/>
      <c r="AC36" s="148"/>
      <c r="AD36" s="148"/>
      <c r="AE36" s="150"/>
      <c r="AF36" s="151"/>
      <c r="AG36" s="152"/>
      <c r="AH36" s="152"/>
      <c r="AI36" s="152"/>
      <c r="AJ36" s="152"/>
      <c r="AK36" s="153"/>
      <c r="AM36" s="155"/>
      <c r="AN36" s="153"/>
      <c r="AO36" s="155"/>
    </row>
    <row r="37" customFormat="false" ht="15" hidden="false" customHeight="false" outlineLevel="0" collapsed="false">
      <c r="B37" s="147"/>
      <c r="C37" s="147"/>
      <c r="D37" s="148"/>
      <c r="E37" s="148"/>
      <c r="F37" s="148"/>
      <c r="G37" s="148"/>
      <c r="H37" s="148"/>
      <c r="I37" s="148"/>
      <c r="J37" s="148"/>
      <c r="K37" s="148"/>
      <c r="L37" s="148"/>
      <c r="M37" s="149" t="str">
        <f aca="false">IF(ISBLANK(AM37),'Item-Roteiro_PONTUA'!$B$20,VLOOKUP(AM37,'Item-Roteiro_PONTUA'!$A$2:$C$86,2,0))</f>
        <v>Desenvolvimento</v>
      </c>
      <c r="N37" s="148" t="s">
        <v>10</v>
      </c>
      <c r="O37" s="149" t="str">
        <f aca="false">IF(ISBLANK(AM37),'Item-Roteiro_PONTUA'!$C$20,VLOOKUP(AM37,'Item-Roteiro_PONTUA'!$A$2:$C$86,3,0))</f>
        <v>Incluída</v>
      </c>
      <c r="P37" s="147"/>
      <c r="Q37" s="147"/>
      <c r="R37" s="147"/>
      <c r="S37" s="147"/>
      <c r="T37" s="147"/>
      <c r="U37" s="147"/>
      <c r="V37" s="147"/>
      <c r="W37" s="147"/>
      <c r="X37" s="147"/>
      <c r="Y37" s="150"/>
      <c r="Z37" s="148"/>
      <c r="AA37" s="148"/>
      <c r="AB37" s="148"/>
      <c r="AC37" s="148"/>
      <c r="AD37" s="148"/>
      <c r="AE37" s="150"/>
      <c r="AF37" s="151"/>
      <c r="AG37" s="152"/>
      <c r="AH37" s="152"/>
      <c r="AI37" s="152"/>
      <c r="AJ37" s="152"/>
      <c r="AK37" s="153"/>
      <c r="AM37" s="155"/>
      <c r="AN37" s="153"/>
      <c r="AO37" s="155"/>
    </row>
    <row r="38" customFormat="false" ht="15" hidden="false" customHeight="false" outlineLevel="0" collapsed="false">
      <c r="B38" s="147"/>
      <c r="C38" s="147"/>
      <c r="D38" s="148"/>
      <c r="E38" s="148"/>
      <c r="F38" s="148"/>
      <c r="G38" s="148"/>
      <c r="H38" s="148"/>
      <c r="I38" s="148"/>
      <c r="J38" s="148"/>
      <c r="K38" s="148"/>
      <c r="L38" s="148" t="s">
        <v>10</v>
      </c>
      <c r="M38" s="149" t="str">
        <f aca="false">IF(ISBLANK(AM38),'Item-Roteiro_PONTUA'!$B$20,VLOOKUP(AM38,'Item-Roteiro_PONTUA'!$A$2:$C$86,2,0))</f>
        <v>Desenvolvimento</v>
      </c>
      <c r="N38" s="148" t="s">
        <v>10</v>
      </c>
      <c r="O38" s="149" t="str">
        <f aca="false">IF(ISBLANK(AM38),'Item-Roteiro_PONTUA'!$C$20,VLOOKUP(AM38,'Item-Roteiro_PONTUA'!$A$2:$C$86,3,0))</f>
        <v>Incluída</v>
      </c>
      <c r="P38" s="147"/>
      <c r="Q38" s="147"/>
      <c r="R38" s="147"/>
      <c r="S38" s="147"/>
      <c r="T38" s="147"/>
      <c r="U38" s="147"/>
      <c r="V38" s="147"/>
      <c r="W38" s="147"/>
      <c r="X38" s="147"/>
      <c r="Y38" s="150"/>
      <c r="Z38" s="148"/>
      <c r="AA38" s="148"/>
      <c r="AB38" s="148"/>
      <c r="AC38" s="148"/>
      <c r="AD38" s="148"/>
      <c r="AE38" s="150"/>
      <c r="AF38" s="151" t="str">
        <f aca="false">IF(Y38="Baixa",7,IF(Y38="Média",10,IF(Y38="Alta",15,"*")))</f>
        <v>*</v>
      </c>
      <c r="AG38" s="152"/>
      <c r="AH38" s="152"/>
      <c r="AI38" s="152"/>
      <c r="AJ38" s="152"/>
      <c r="AK38" s="153"/>
      <c r="AL38" s="1" t="s">
        <v>10</v>
      </c>
      <c r="AM38" s="154"/>
      <c r="AN38" s="153"/>
      <c r="AO38" s="154"/>
    </row>
    <row r="39" customFormat="false" ht="15" hidden="false" customHeight="false" outlineLevel="0" collapsed="false">
      <c r="B39" s="129"/>
      <c r="C39" s="129"/>
      <c r="D39" s="13"/>
      <c r="E39" s="13"/>
      <c r="F39" s="13"/>
      <c r="G39" s="13"/>
      <c r="H39" s="13"/>
      <c r="I39" s="13"/>
      <c r="J39" s="13"/>
      <c r="K39" s="13"/>
      <c r="L39" s="13"/>
      <c r="M39" s="129"/>
      <c r="N39" s="13"/>
      <c r="O39" s="129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68"/>
      <c r="AG39" s="168"/>
      <c r="AH39" s="168"/>
      <c r="AI39" s="168"/>
      <c r="AJ39" s="168"/>
      <c r="AK39" s="13"/>
    </row>
    <row r="40" customFormat="false" ht="15" hidden="false" customHeight="false" outlineLevel="0" collapsed="false">
      <c r="D40" s="1" t="s">
        <v>10</v>
      </c>
      <c r="F40" s="1" t="s">
        <v>10</v>
      </c>
      <c r="H40" s="1" t="s">
        <v>10</v>
      </c>
      <c r="J40" s="1" t="s">
        <v>10</v>
      </c>
      <c r="L40" s="1" t="s">
        <v>10</v>
      </c>
      <c r="N40" s="1" t="s">
        <v>10</v>
      </c>
      <c r="P40" s="1" t="s">
        <v>10</v>
      </c>
      <c r="Z40" s="1" t="s">
        <v>10</v>
      </c>
      <c r="AF40" s="1" t="n">
        <f aca="false">SUM(AF19)</f>
        <v>0</v>
      </c>
      <c r="AL40" s="1" t="s">
        <v>10</v>
      </c>
    </row>
    <row r="41" customFormat="false" ht="15" hidden="false" customHeight="false" outlineLevel="0" collapsed="false">
      <c r="C41" s="13" t="s">
        <v>10</v>
      </c>
      <c r="D41" s="1" t="s">
        <v>10</v>
      </c>
      <c r="E41" s="156" t="s">
        <v>176</v>
      </c>
      <c r="F41" s="156"/>
      <c r="G41" s="156"/>
      <c r="H41" s="157"/>
      <c r="I41" s="158" t="s">
        <v>34</v>
      </c>
      <c r="J41" s="158"/>
      <c r="K41" s="158"/>
      <c r="M41" s="159"/>
    </row>
    <row r="42" customFormat="false" ht="15" hidden="false" customHeight="false" outlineLevel="0" collapsed="false">
      <c r="B42" s="160"/>
      <c r="C42" s="160" t="s">
        <v>164</v>
      </c>
      <c r="D42" s="161"/>
      <c r="E42" s="162" t="s">
        <v>177</v>
      </c>
      <c r="F42" s="162"/>
      <c r="G42" s="162"/>
      <c r="H42" s="162"/>
      <c r="I42" s="162"/>
      <c r="J42" s="162"/>
      <c r="K42" s="162"/>
      <c r="M42" s="159"/>
    </row>
    <row r="43" customFormat="false" ht="15" hidden="false" customHeight="false" outlineLevel="0" collapsed="false">
      <c r="B43" s="163"/>
      <c r="C43" s="164" t="s">
        <v>35</v>
      </c>
      <c r="D43" s="163"/>
      <c r="E43" s="165" t="n">
        <f aca="false" t="array" ref="E43:E43">SUMPRODUCT((Y19:Y38=C43)*(LEFT(M19:M38,10)&lt;&gt;"Retrabalho"))</f>
        <v>0</v>
      </c>
      <c r="F43" s="165"/>
      <c r="G43" s="165"/>
      <c r="H43" s="166"/>
      <c r="I43" s="167" t="n">
        <f aca="false" t="array" ref="I43:I43">SUMPRODUCT((Y19:Y38=C43)*(LEFT(M19:M38,10)&lt;&gt;"Retrabalho")*NOT(ISBLANK(AE19:AE38))*AE19:AE38)</f>
        <v>0</v>
      </c>
      <c r="J43" s="167"/>
      <c r="K43" s="167"/>
      <c r="M43" s="159"/>
    </row>
    <row r="44" customFormat="false" ht="15" hidden="false" customHeight="false" outlineLevel="0" collapsed="false">
      <c r="B44" s="163"/>
      <c r="C44" s="164" t="s">
        <v>36</v>
      </c>
      <c r="D44" s="163"/>
      <c r="E44" s="165" t="n">
        <f aca="false" t="array" ref="E44:E44">SUMPRODUCT((Y19:Y38=C44)*(LEFT(M19:M38,10)&lt;&gt;"Retrabalho"))</f>
        <v>0</v>
      </c>
      <c r="F44" s="165"/>
      <c r="G44" s="165"/>
      <c r="H44" s="166"/>
      <c r="I44" s="167" t="n">
        <f aca="false" t="array" ref="I44:I44">SUMPRODUCT((Y19:Y38=C44)*(LEFT(M19:M38,10)&lt;&gt;"Retrabalho")*NOT(ISBLANK(AE19:AE38))*AE19:AE38)</f>
        <v>0</v>
      </c>
      <c r="J44" s="167"/>
      <c r="K44" s="167"/>
      <c r="M44" s="159"/>
    </row>
    <row r="45" customFormat="false" ht="15" hidden="false" customHeight="false" outlineLevel="0" collapsed="false">
      <c r="B45" s="163"/>
      <c r="C45" s="164" t="s">
        <v>37</v>
      </c>
      <c r="D45" s="163"/>
      <c r="E45" s="165" t="n">
        <f aca="false" t="array" ref="E45:E45">SUMPRODUCT((Y19:Y38=C45)*(LEFT(M19:M38,10)&lt;&gt;"Retrabalho"))</f>
        <v>0</v>
      </c>
      <c r="F45" s="165"/>
      <c r="G45" s="165"/>
      <c r="H45" s="166"/>
      <c r="I45" s="167" t="n">
        <f aca="false" t="array" ref="I45:I45">SUMPRODUCT((Y19:Y38=C45)*(LEFT(M19:M38,10)&lt;&gt;"Retrabalho")*NOT(ISBLANK(AE19:AE38))*AE19:AE38)</f>
        <v>0</v>
      </c>
      <c r="J45" s="167"/>
      <c r="K45" s="167"/>
      <c r="M45" s="159"/>
    </row>
    <row r="46" customFormat="false" ht="15" hidden="false" customHeight="false" outlineLevel="0" collapsed="false">
      <c r="C46" s="168"/>
      <c r="E46" s="159"/>
      <c r="F46" s="13"/>
      <c r="G46" s="13"/>
      <c r="H46" s="13"/>
      <c r="I46" s="13"/>
      <c r="J46" s="13"/>
      <c r="K46" s="169"/>
      <c r="M46" s="159"/>
    </row>
    <row r="47" customFormat="false" ht="15" hidden="false" customHeight="false" outlineLevel="0" collapsed="false">
      <c r="C47" s="168"/>
      <c r="E47" s="162" t="s">
        <v>41</v>
      </c>
      <c r="F47" s="162"/>
      <c r="G47" s="162"/>
      <c r="H47" s="162"/>
      <c r="I47" s="162"/>
      <c r="J47" s="162"/>
      <c r="K47" s="162"/>
      <c r="M47" s="159"/>
    </row>
    <row r="48" customFormat="false" ht="15" hidden="false" customHeight="false" outlineLevel="0" collapsed="false">
      <c r="B48" s="163"/>
      <c r="C48" s="164" t="s">
        <v>35</v>
      </c>
      <c r="D48" s="163"/>
      <c r="E48" s="165" t="n">
        <f aca="false" t="array" ref="E48:E48">SUMPRODUCT((Y19:Y38=C48)*(LEFT(M19:M38,10)="Retrabalho"))</f>
        <v>0</v>
      </c>
      <c r="F48" s="165"/>
      <c r="G48" s="165"/>
      <c r="H48" s="166"/>
      <c r="I48" s="167" t="n">
        <f aca="false" t="array" ref="I48:I48">SUMPRODUCT((Y19:Y38=C48)*(LEFT(M19:M38,10)="Retrabalho")*NOT(ISBLANK(AE19:AE38))*AE19:AE38)</f>
        <v>0</v>
      </c>
      <c r="J48" s="167"/>
      <c r="K48" s="167"/>
      <c r="M48" s="159"/>
    </row>
    <row r="49" customFormat="false" ht="15" hidden="false" customHeight="false" outlineLevel="0" collapsed="false">
      <c r="B49" s="163"/>
      <c r="C49" s="164" t="s">
        <v>36</v>
      </c>
      <c r="D49" s="163"/>
      <c r="E49" s="165" t="n">
        <f aca="false" t="array" ref="E49:E49">SUMPRODUCT((Y19:Y38=C49)*(LEFT(M19:M38,10)="Retrabalho"))</f>
        <v>0</v>
      </c>
      <c r="F49" s="165"/>
      <c r="G49" s="165"/>
      <c r="H49" s="166"/>
      <c r="I49" s="167" t="n">
        <f aca="false" t="array" ref="I49:I49">SUMPRODUCT((Y19:Y38=C49)*(LEFT(M19:M38,10)="Retrabalho")*NOT(ISBLANK(AE19:AE38))*AE19:AE38)</f>
        <v>0</v>
      </c>
      <c r="J49" s="167"/>
      <c r="K49" s="167"/>
      <c r="M49" s="159"/>
    </row>
    <row r="50" customFormat="false" ht="15" hidden="false" customHeight="false" outlineLevel="0" collapsed="false">
      <c r="B50" s="163"/>
      <c r="C50" s="164" t="s">
        <v>37</v>
      </c>
      <c r="D50" s="163"/>
      <c r="E50" s="165" t="n">
        <f aca="false" t="array" ref="E50:E50">SUMPRODUCT((Y19:Y38=C50)*(LEFT(M19:M38,10)="Retrabalho"))</f>
        <v>0</v>
      </c>
      <c r="F50" s="165"/>
      <c r="G50" s="165"/>
      <c r="H50" s="166"/>
      <c r="I50" s="167" t="n">
        <f aca="false" t="array" ref="I50:I50">SUMPRODUCT((Y19:Y38=C50)*(LEFT(M19:M38,10)="Retrabalho")*NOT(ISBLANK(AE19:AE38))*AE19:AE38)</f>
        <v>0</v>
      </c>
      <c r="J50" s="167"/>
      <c r="K50" s="167"/>
      <c r="M50" s="159"/>
    </row>
    <row r="51" customFormat="false" ht="15" hidden="false" customHeight="false" outlineLevel="0" collapsed="false">
      <c r="C51" s="168"/>
      <c r="E51" s="159"/>
      <c r="F51" s="13"/>
      <c r="G51" s="13"/>
      <c r="H51" s="13"/>
      <c r="I51" s="13"/>
      <c r="J51" s="13"/>
      <c r="K51" s="169"/>
      <c r="M51" s="159"/>
    </row>
    <row r="52" customFormat="false" ht="15" hidden="false" customHeight="false" outlineLevel="0" collapsed="false">
      <c r="C52" s="168"/>
      <c r="E52" s="162" t="s">
        <v>166</v>
      </c>
      <c r="F52" s="162"/>
      <c r="G52" s="162"/>
      <c r="H52" s="162"/>
      <c r="I52" s="162"/>
      <c r="J52" s="162"/>
      <c r="K52" s="162"/>
      <c r="M52" s="159"/>
    </row>
    <row r="53" customFormat="false" ht="15" hidden="false" customHeight="false" outlineLevel="0" collapsed="false">
      <c r="B53" s="163"/>
      <c r="C53" s="164" t="s">
        <v>35</v>
      </c>
      <c r="D53" s="163"/>
      <c r="E53" s="165" t="n">
        <f aca="false">E43+E48</f>
        <v>0</v>
      </c>
      <c r="F53" s="165"/>
      <c r="G53" s="165"/>
      <c r="H53" s="166"/>
      <c r="I53" s="167" t="n">
        <f aca="false">I43+I48</f>
        <v>0</v>
      </c>
      <c r="J53" s="167"/>
      <c r="K53" s="167"/>
      <c r="M53" s="159"/>
    </row>
    <row r="54" customFormat="false" ht="15" hidden="false" customHeight="false" outlineLevel="0" collapsed="false">
      <c r="B54" s="163"/>
      <c r="C54" s="164" t="s">
        <v>36</v>
      </c>
      <c r="D54" s="163"/>
      <c r="E54" s="165" t="n">
        <f aca="false">E44+E49</f>
        <v>0</v>
      </c>
      <c r="F54" s="165"/>
      <c r="G54" s="165"/>
      <c r="H54" s="166"/>
      <c r="I54" s="167" t="n">
        <f aca="false">I44+I49</f>
        <v>0</v>
      </c>
      <c r="J54" s="167"/>
      <c r="K54" s="167"/>
      <c r="M54" s="159"/>
    </row>
    <row r="55" customFormat="false" ht="15" hidden="false" customHeight="false" outlineLevel="0" collapsed="false">
      <c r="B55" s="163"/>
      <c r="C55" s="164" t="s">
        <v>37</v>
      </c>
      <c r="D55" s="163"/>
      <c r="E55" s="165" t="n">
        <f aca="false">E45+E50</f>
        <v>0</v>
      </c>
      <c r="F55" s="165"/>
      <c r="G55" s="165"/>
      <c r="H55" s="166"/>
      <c r="I55" s="167" t="n">
        <f aca="false">I45+I50</f>
        <v>0</v>
      </c>
      <c r="J55" s="167"/>
      <c r="K55" s="167"/>
      <c r="M55" s="159"/>
    </row>
    <row r="56" customFormat="false" ht="15" hidden="false" customHeight="false" outlineLevel="0" collapsed="false">
      <c r="C56" s="13"/>
      <c r="E56" s="182" t="n">
        <f aca="false">E53+E54+E55</f>
        <v>0</v>
      </c>
      <c r="F56" s="182"/>
      <c r="G56" s="182"/>
      <c r="H56" s="183"/>
      <c r="I56" s="184" t="n">
        <f aca="false">I53+I54+I55</f>
        <v>0</v>
      </c>
      <c r="J56" s="184"/>
      <c r="K56" s="184"/>
      <c r="M56" s="159"/>
    </row>
    <row r="57" customFormat="false" ht="15" hidden="false" customHeight="false" outlineLevel="0" collapsed="false">
      <c r="E57" s="51"/>
      <c r="F57" s="51"/>
      <c r="G57" s="51"/>
      <c r="H57" s="51"/>
      <c r="I57" s="51"/>
      <c r="J57" s="51"/>
      <c r="K57" s="51"/>
    </row>
    <row r="59" customFormat="false" ht="15" hidden="false" customHeight="false" outlineLevel="0" collapsed="false">
      <c r="B59" s="6" t="s">
        <v>178</v>
      </c>
      <c r="C59" s="6"/>
      <c r="D59" s="6"/>
      <c r="E59" s="6"/>
      <c r="F59" s="6"/>
      <c r="G59" s="6"/>
      <c r="H59" s="6"/>
      <c r="I59" s="6"/>
      <c r="J59" s="8"/>
      <c r="K59" s="8" t="e">
        <f aca="false">SUMPRODUCT((O19="Excluída")*AF19)+SUMPRODUCT((O19="Help")*AF19)+SUMPRODUCT((M19="Manutenção em Páginas Estáticas")*AF19)+SUMPRODUCT((M19="Manutenção em Interface")*AF19)+SUMPRODUCT((M19="Retrabalho Alteração de Interface")*AF19)+SUMPRODUCT((M19="Atualização de dados e PF de Domínio")*AF19)+SUMPRODUCT((M19="Testes Não Funcionais / Interoperabilidade")*AF19)+SUMPRODUCT((M19="Pontos de Função de Testes Funcionais")*AF19)+SUMPRODUCT((M19="Projeto de Automação de Testes")*AF19)+SUMPRODUCT((M19="Apuração Especial - Base de Dados – após consulta")*AF19)+SUMPRODUCT((M19="Apuração Especial - Base de Dados – sem consulta")*AF19)</f>
        <v>#VALUE!</v>
      </c>
      <c r="M59" s="159"/>
    </row>
    <row r="60" customFormat="false" ht="15" hidden="false" customHeight="false" outlineLevel="0" collapsed="false">
      <c r="B60" s="6" t="s">
        <v>179</v>
      </c>
      <c r="C60" s="6"/>
      <c r="D60" s="6"/>
      <c r="E60" s="6"/>
      <c r="F60" s="6"/>
      <c r="G60" s="6"/>
      <c r="H60" s="6"/>
      <c r="I60" s="6"/>
      <c r="J60" s="8"/>
      <c r="K60" s="8" t="n">
        <f aca="false">SUMPRODUCT((O19="Massa de Dados")*AE19)</f>
        <v>0</v>
      </c>
      <c r="M60" s="159"/>
    </row>
    <row r="61" customFormat="false" ht="15" hidden="false" customHeight="false" outlineLevel="0" collapsed="false">
      <c r="B61" s="6" t="s">
        <v>180</v>
      </c>
      <c r="C61" s="6"/>
      <c r="D61" s="6"/>
      <c r="E61" s="6"/>
      <c r="F61" s="6"/>
      <c r="G61" s="6"/>
      <c r="H61" s="6"/>
      <c r="I61" s="6"/>
      <c r="J61" s="8"/>
      <c r="K61" s="8" t="n">
        <f aca="false">SUMPRODUCT((O19="Excluída")*AE19)+SUMPRODUCT((O19="Help")*AE19)+SUMPRODUCT((M19="Manutenção em Páginas Estáticas")*AE19)+SUMPRODUCT((M19="Manutenção em Interface")*AE19)+SUMPRODUCT((M19="Retrabalho Alteração de Interface")*AE19)+SUMPRODUCT((M19="Atualização de dados e PF de Domínio")*AE19)+SUMPRODUCT((M19="Testes Não Funcionais / Interoperabilidade")*AE19)+SUMPRODUCT((M19="Pontos de Função de Testes Funcionais")*AE19)+SUMPRODUCT((M19="Projeto de Automação de Testes")*AE19)+SUMPRODUCT((M19="Apuração Especial - Base de Dados – após consulta")*AE19)+SUMPRODUCT((M19="Apuração Especial - Base de Dados – sem consulta")*AE19)</f>
        <v>0</v>
      </c>
      <c r="M61" s="159"/>
    </row>
  </sheetData>
  <mergeCells count="55">
    <mergeCell ref="E2:AK2"/>
    <mergeCell ref="B9:AK9"/>
    <mergeCell ref="B12:AK12"/>
    <mergeCell ref="B13:AK13"/>
    <mergeCell ref="B14:AK14"/>
    <mergeCell ref="B15:AK15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E41:G41"/>
    <mergeCell ref="I41:K41"/>
    <mergeCell ref="E42:K42"/>
    <mergeCell ref="E43:G43"/>
    <mergeCell ref="I43:K43"/>
    <mergeCell ref="E44:G44"/>
    <mergeCell ref="I44:K44"/>
    <mergeCell ref="E45:G45"/>
    <mergeCell ref="I45:K45"/>
    <mergeCell ref="E47:K47"/>
    <mergeCell ref="E48:G48"/>
    <mergeCell ref="I48:K48"/>
    <mergeCell ref="E49:G49"/>
    <mergeCell ref="I49:K49"/>
    <mergeCell ref="E50:G50"/>
    <mergeCell ref="I50:K50"/>
    <mergeCell ref="E52:K52"/>
    <mergeCell ref="E53:G53"/>
    <mergeCell ref="I53:K53"/>
    <mergeCell ref="E54:G54"/>
    <mergeCell ref="I54:K54"/>
    <mergeCell ref="E55:G55"/>
    <mergeCell ref="I55:K55"/>
    <mergeCell ref="E56:G56"/>
    <mergeCell ref="I56:K56"/>
    <mergeCell ref="B59:I59"/>
    <mergeCell ref="B60:I60"/>
    <mergeCell ref="B61:I61"/>
  </mergeCells>
  <dataValidations count="3">
    <dataValidation allowBlank="true" operator="between" showDropDown="false" showErrorMessage="true" showInputMessage="true" sqref="AM19:AM38 AO19:AO38" type="list">
      <formula1>Validar!$I$2</formula1>
      <formula2>0</formula2>
    </dataValidation>
    <dataValidation allowBlank="true" operator="between" showDropDown="false" showErrorMessage="true" showInputMessage="true" sqref="M19:M38" type="list">
      <formula1>Validar!$G$17:$G$51</formula1>
      <formula2>0</formula2>
    </dataValidation>
    <dataValidation allowBlank="true" operator="between" showDropDown="false" showErrorMessage="true" showInputMessage="true" sqref="O19:O38" type="list">
      <formula1>Validar!$G$2:$G$11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A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.29"/>
    <col collapsed="false" customWidth="true" hidden="false" outlineLevel="0" max="2" min="2" style="1" width="25.71"/>
    <col collapsed="false" customWidth="true" hidden="false" outlineLevel="0" max="3" min="3" style="1" width="7.71"/>
    <col collapsed="false" customWidth="true" hidden="true" outlineLevel="0" max="4" min="4" style="1" width="11.57"/>
    <col collapsed="false" customWidth="true" hidden="false" outlineLevel="0" max="5" min="5" style="1" width="4.29"/>
    <col collapsed="false" customWidth="true" hidden="true" outlineLevel="0" max="6" min="6" style="1" width="11.57"/>
    <col collapsed="false" customWidth="true" hidden="false" outlineLevel="0" max="7" min="7" style="1" width="10.71"/>
    <col collapsed="false" customWidth="true" hidden="true" outlineLevel="0" max="8" min="8" style="1" width="11.57"/>
    <col collapsed="false" customWidth="true" hidden="false" outlineLevel="0" max="9" min="9" style="1" width="4.86"/>
    <col collapsed="false" customWidth="true" hidden="true" outlineLevel="0" max="10" min="10" style="1" width="11.57"/>
    <col collapsed="false" customWidth="true" hidden="false" outlineLevel="0" max="11" min="11" style="1" width="11.14"/>
    <col collapsed="false" customWidth="true" hidden="true" outlineLevel="0" max="12" min="12" style="1" width="11.57"/>
    <col collapsed="false" customWidth="true" hidden="false" outlineLevel="0" max="13" min="13" style="1" width="25.71"/>
    <col collapsed="false" customWidth="true" hidden="true" outlineLevel="0" max="14" min="14" style="1" width="11.57"/>
    <col collapsed="false" customWidth="true" hidden="false" outlineLevel="0" max="15" min="15" style="1" width="12.71"/>
    <col collapsed="false" customWidth="true" hidden="true" outlineLevel="0" max="24" min="16" style="1" width="11.57"/>
    <col collapsed="false" customWidth="true" hidden="false" outlineLevel="0" max="25" min="25" style="1" width="8.71"/>
    <col collapsed="false" customWidth="true" hidden="true" outlineLevel="0" max="30" min="26" style="1" width="11.57"/>
    <col collapsed="false" customWidth="true" hidden="false" outlineLevel="0" max="31" min="31" style="1" width="7.71"/>
    <col collapsed="false" customWidth="false" hidden="true" outlineLevel="0" max="36" min="32" style="1" width="9.14"/>
    <col collapsed="false" customWidth="true" hidden="false" outlineLevel="0" max="37" min="37" style="1" width="34.58"/>
    <col collapsed="false" customWidth="true" hidden="true" outlineLevel="0" max="38" min="38" style="1" width="8.42"/>
    <col collapsed="false" customWidth="false" hidden="true" outlineLevel="0" max="39" min="39" style="127" width="9.14"/>
    <col collapsed="false" customWidth="true" hidden="false" outlineLevel="0" max="40" min="40" style="1" width="25.42"/>
    <col collapsed="false" customWidth="false" hidden="false" outlineLevel="0" max="1024" min="41" style="1" width="9.14"/>
  </cols>
  <sheetData>
    <row r="2" customFormat="false" ht="15" hidden="false" customHeight="false" outlineLevel="0" collapsed="false">
      <c r="B2" s="4" t="s">
        <v>144</v>
      </c>
      <c r="E2" s="128" t="s">
        <v>167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customFormat="false" ht="15" hidden="true" customHeight="false" outlineLevel="0" collapsed="false">
      <c r="B3" s="4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</row>
    <row r="4" customFormat="false" ht="15" hidden="true" customHeight="false" outlineLevel="0" collapsed="false">
      <c r="B4" s="4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</row>
    <row r="5" customFormat="false" ht="15" hidden="true" customHeight="false" outlineLevel="0" collapsed="false">
      <c r="B5" s="4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</row>
    <row r="6" customFormat="false" ht="15" hidden="true" customHeight="false" outlineLevel="0" collapsed="false">
      <c r="B6" s="4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</row>
    <row r="7" customFormat="false" ht="15" hidden="true" customHeight="false" outlineLevel="0" collapsed="false">
      <c r="B7" s="4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</row>
    <row r="9" customFormat="false" ht="15.75" hidden="false" customHeight="false" outlineLevel="0" collapsed="false">
      <c r="B9" s="130" t="s">
        <v>181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</row>
    <row r="10" customFormat="false" ht="15" hidden="true" customHeight="false" outlineLevel="0" collapsed="false"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</row>
    <row r="11" customFormat="false" ht="15" hidden="true" customHeight="false" outlineLevel="0" collapsed="false">
      <c r="B11" s="132" t="s">
        <v>146</v>
      </c>
      <c r="C11" s="133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</row>
    <row r="12" customFormat="false" ht="37.5" hidden="true" customHeight="true" outlineLevel="0" collapsed="false">
      <c r="B12" s="134" t="str">
        <f aca="false">ALI!B12</f>
        <v>Evite editar os dados apresentados, cadastrar novas funcionalidades e/ou alterar seus dados. Esta planilha não realiza cálculos nas funções. Os dados da função foram exportados do Pontua, inclusive a Complexidade e o PF. O valor do PF foi calculado conforme Roteiro de Métricas informado na Contagem cadastrada na aplicação. Do Item de Roteiro é feita a equivalência para Tipo de Demanda e Classificação.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</row>
    <row r="13" customFormat="false" ht="19.5" hidden="true" customHeight="true" outlineLevel="0" collapsed="false">
      <c r="B13" s="135" t="str">
        <f aca="false">ALI!B13</f>
        <v>¹ Em caso de cópia de Tipo de Demanda e/ou Classificação – colar o conteúdo em modo texto puro pois as células possuem fórmulas (menu “Editar” - “Colar Especial...” - “Texto”)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</row>
    <row r="14" customFormat="false" ht="21" hidden="true" customHeight="true" outlineLevel="0" collapsed="false">
      <c r="B14" s="135" t="str">
        <f aca="false">ALI!B14</f>
        <v>Caso seja necessário transfira o conteúdo para a planilha do respectivo cliente. As planilhas podem ser obtidas na página do Escritório de Métricas: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</row>
    <row r="15" customFormat="false" ht="21.75" hidden="true" customHeight="true" outlineLevel="0" collapsed="false">
      <c r="B15" s="173" t="str">
        <f aca="false">ALI!B15</f>
        <v>https://gitcorporativo.serpro/supde/SUPDE-EMPF/wikis/home 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</row>
    <row r="16" customFormat="false" ht="15.75" hidden="false" customHeight="false" outlineLevel="0" collapsed="false"/>
    <row r="17" customFormat="false" ht="45" hidden="false" customHeight="true" outlineLevel="0" collapsed="false">
      <c r="B17" s="174" t="s">
        <v>182</v>
      </c>
      <c r="C17" s="174"/>
      <c r="D17" s="175"/>
      <c r="E17" s="176" t="s">
        <v>173</v>
      </c>
      <c r="F17" s="177"/>
      <c r="G17" s="140" t="s">
        <v>174</v>
      </c>
      <c r="H17" s="177"/>
      <c r="I17" s="176" t="s">
        <v>154</v>
      </c>
      <c r="J17" s="177"/>
      <c r="K17" s="140" t="s">
        <v>155</v>
      </c>
      <c r="L17" s="178"/>
      <c r="M17" s="179" t="s">
        <v>156</v>
      </c>
      <c r="N17" s="178"/>
      <c r="O17" s="179" t="s">
        <v>157</v>
      </c>
      <c r="P17" s="178"/>
      <c r="Q17" s="178"/>
      <c r="R17" s="178"/>
      <c r="S17" s="178"/>
      <c r="T17" s="178"/>
      <c r="U17" s="178"/>
      <c r="V17" s="178"/>
      <c r="W17" s="178"/>
      <c r="X17" s="178"/>
      <c r="Y17" s="179" t="s">
        <v>158</v>
      </c>
      <c r="Z17" s="178"/>
      <c r="AA17" s="178"/>
      <c r="AB17" s="178"/>
      <c r="AC17" s="178"/>
      <c r="AD17" s="178"/>
      <c r="AE17" s="179" t="s">
        <v>159</v>
      </c>
      <c r="AF17" s="178" t="s">
        <v>160</v>
      </c>
      <c r="AG17" s="178"/>
      <c r="AH17" s="178"/>
      <c r="AI17" s="178"/>
      <c r="AJ17" s="178"/>
      <c r="AK17" s="140" t="s">
        <v>161</v>
      </c>
      <c r="AL17" s="180"/>
      <c r="AM17" s="145" t="s">
        <v>175</v>
      </c>
      <c r="AN17" s="140" t="s">
        <v>162</v>
      </c>
      <c r="AO17" s="181"/>
    </row>
    <row r="18" customFormat="false" ht="15.75" hidden="false" customHeight="false" outlineLevel="0" collapsed="false"/>
    <row r="19" customFormat="false" ht="15" hidden="false" customHeight="false" outlineLevel="0" collapsed="false">
      <c r="B19" s="147"/>
      <c r="C19" s="147"/>
      <c r="D19" s="148"/>
      <c r="E19" s="148"/>
      <c r="F19" s="148"/>
      <c r="G19" s="148"/>
      <c r="H19" s="148"/>
      <c r="I19" s="148"/>
      <c r="J19" s="148"/>
      <c r="K19" s="148"/>
      <c r="L19" s="148" t="s">
        <v>10</v>
      </c>
      <c r="M19" s="149" t="str">
        <f aca="false">IF(ISBLANK(AM19),'Item-Roteiro_PONTUA'!$B$20,VLOOKUP(AM19,'Item-Roteiro_PONTUA'!$A$2:$C$86,2,0))</f>
        <v>Desenvolvimento</v>
      </c>
      <c r="N19" s="148" t="s">
        <v>10</v>
      </c>
      <c r="O19" s="149" t="str">
        <f aca="false">IF(ISBLANK(AM19),'Item-Roteiro_PONTUA'!$C$20,VLOOKUP(AM19,'Item-Roteiro_PONTUA'!$A$2:$C$86,3,0))</f>
        <v>Incluída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50"/>
      <c r="Z19" s="148"/>
      <c r="AA19" s="148"/>
      <c r="AB19" s="148"/>
      <c r="AC19" s="148"/>
      <c r="AD19" s="148"/>
      <c r="AE19" s="150"/>
      <c r="AF19" s="151" t="str">
        <f aca="false">IF(Y19="Baixa",7,IF(Y19="Média",10,IF(Y19="Alta",15,"*")))</f>
        <v>*</v>
      </c>
      <c r="AG19" s="152"/>
      <c r="AH19" s="152"/>
      <c r="AI19" s="152"/>
      <c r="AJ19" s="152"/>
      <c r="AK19" s="153"/>
      <c r="AL19" s="1" t="s">
        <v>10</v>
      </c>
      <c r="AM19" s="154"/>
      <c r="AN19" s="153"/>
      <c r="AO19" s="154"/>
    </row>
    <row r="20" customFormat="false" ht="15" hidden="false" customHeight="false" outlineLevel="0" collapsed="false">
      <c r="B20" s="147"/>
      <c r="C20" s="147"/>
      <c r="D20" s="148"/>
      <c r="E20" s="148"/>
      <c r="F20" s="148"/>
      <c r="G20" s="148"/>
      <c r="H20" s="148"/>
      <c r="I20" s="148"/>
      <c r="J20" s="148"/>
      <c r="K20" s="148"/>
      <c r="L20" s="148"/>
      <c r="M20" s="149" t="str">
        <f aca="false">IF(ISBLANK(AM20),'Item-Roteiro_PONTUA'!$B$20,VLOOKUP(AM20,'Item-Roteiro_PONTUA'!$A$2:$C$86,2,0))</f>
        <v>Desenvolvimento</v>
      </c>
      <c r="N20" s="148" t="s">
        <v>10</v>
      </c>
      <c r="O20" s="149" t="str">
        <f aca="false">IF(ISBLANK(AM20),'Item-Roteiro_PONTUA'!$C$20,VLOOKUP(AM20,'Item-Roteiro_PONTUA'!$A$2:$C$86,3,0))</f>
        <v>Incluída</v>
      </c>
      <c r="P20" s="147"/>
      <c r="Q20" s="147"/>
      <c r="R20" s="147"/>
      <c r="S20" s="147"/>
      <c r="T20" s="147"/>
      <c r="U20" s="147"/>
      <c r="V20" s="147"/>
      <c r="W20" s="147"/>
      <c r="X20" s="147"/>
      <c r="Y20" s="150"/>
      <c r="Z20" s="148"/>
      <c r="AA20" s="148"/>
      <c r="AB20" s="148"/>
      <c r="AC20" s="148"/>
      <c r="AD20" s="148"/>
      <c r="AE20" s="150"/>
      <c r="AF20" s="151"/>
      <c r="AG20" s="152"/>
      <c r="AH20" s="152"/>
      <c r="AI20" s="152"/>
      <c r="AJ20" s="152"/>
      <c r="AK20" s="153"/>
      <c r="AM20" s="155"/>
      <c r="AN20" s="153"/>
      <c r="AO20" s="155"/>
    </row>
    <row r="21" customFormat="false" ht="15" hidden="false" customHeight="false" outlineLevel="0" collapsed="false">
      <c r="B21" s="147"/>
      <c r="C21" s="147"/>
      <c r="D21" s="148"/>
      <c r="E21" s="148"/>
      <c r="F21" s="148"/>
      <c r="G21" s="148"/>
      <c r="H21" s="148"/>
      <c r="I21" s="148"/>
      <c r="J21" s="148"/>
      <c r="K21" s="148"/>
      <c r="L21" s="148"/>
      <c r="M21" s="149" t="str">
        <f aca="false">IF(ISBLANK(AM21),'Item-Roteiro_PONTUA'!$B$20,VLOOKUP(AM21,'Item-Roteiro_PONTUA'!$A$2:$C$86,2,0))</f>
        <v>Desenvolvimento</v>
      </c>
      <c r="N21" s="148" t="s">
        <v>10</v>
      </c>
      <c r="O21" s="149" t="str">
        <f aca="false">IF(ISBLANK(AM21),'Item-Roteiro_PONTUA'!$C$20,VLOOKUP(AM21,'Item-Roteiro_PONTUA'!$A$2:$C$86,3,0))</f>
        <v>Incluída</v>
      </c>
      <c r="P21" s="147"/>
      <c r="Q21" s="147"/>
      <c r="R21" s="147"/>
      <c r="S21" s="147"/>
      <c r="T21" s="147"/>
      <c r="U21" s="147"/>
      <c r="V21" s="147"/>
      <c r="W21" s="147"/>
      <c r="X21" s="147"/>
      <c r="Y21" s="150"/>
      <c r="Z21" s="148"/>
      <c r="AA21" s="148"/>
      <c r="AB21" s="148"/>
      <c r="AC21" s="148"/>
      <c r="AD21" s="148"/>
      <c r="AE21" s="150"/>
      <c r="AF21" s="151"/>
      <c r="AG21" s="152"/>
      <c r="AH21" s="152"/>
      <c r="AI21" s="152"/>
      <c r="AJ21" s="152"/>
      <c r="AK21" s="153"/>
      <c r="AM21" s="155"/>
      <c r="AN21" s="153"/>
      <c r="AO21" s="155"/>
    </row>
    <row r="22" customFormat="false" ht="15" hidden="false" customHeight="false" outlineLevel="0" collapsed="false">
      <c r="B22" s="147"/>
      <c r="C22" s="147"/>
      <c r="D22" s="148"/>
      <c r="E22" s="148"/>
      <c r="F22" s="148"/>
      <c r="G22" s="148"/>
      <c r="H22" s="148"/>
      <c r="I22" s="148"/>
      <c r="J22" s="148"/>
      <c r="K22" s="148"/>
      <c r="L22" s="148"/>
      <c r="M22" s="149" t="str">
        <f aca="false">IF(ISBLANK(AM22),'Item-Roteiro_PONTUA'!$B$20,VLOOKUP(AM22,'Item-Roteiro_PONTUA'!$A$2:$C$86,2,0))</f>
        <v>Desenvolvimento</v>
      </c>
      <c r="N22" s="148" t="s">
        <v>10</v>
      </c>
      <c r="O22" s="149" t="str">
        <f aca="false">IF(ISBLANK(AM22),'Item-Roteiro_PONTUA'!$C$20,VLOOKUP(AM22,'Item-Roteiro_PONTUA'!$A$2:$C$86,3,0))</f>
        <v>Incluída</v>
      </c>
      <c r="P22" s="147"/>
      <c r="Q22" s="147"/>
      <c r="R22" s="147"/>
      <c r="S22" s="147"/>
      <c r="T22" s="147"/>
      <c r="U22" s="147"/>
      <c r="V22" s="147"/>
      <c r="W22" s="147"/>
      <c r="X22" s="147"/>
      <c r="Y22" s="150"/>
      <c r="Z22" s="148"/>
      <c r="AA22" s="148"/>
      <c r="AB22" s="148"/>
      <c r="AC22" s="148"/>
      <c r="AD22" s="148"/>
      <c r="AE22" s="150"/>
      <c r="AF22" s="151"/>
      <c r="AG22" s="152"/>
      <c r="AH22" s="152"/>
      <c r="AI22" s="152"/>
      <c r="AJ22" s="152"/>
      <c r="AK22" s="153"/>
      <c r="AM22" s="155"/>
      <c r="AN22" s="153"/>
      <c r="AO22" s="155"/>
    </row>
    <row r="23" customFormat="false" ht="15" hidden="false" customHeight="false" outlineLevel="0" collapsed="false">
      <c r="B23" s="147"/>
      <c r="C23" s="147"/>
      <c r="D23" s="148"/>
      <c r="E23" s="148"/>
      <c r="F23" s="148"/>
      <c r="G23" s="148"/>
      <c r="H23" s="148"/>
      <c r="I23" s="148"/>
      <c r="J23" s="148"/>
      <c r="K23" s="148"/>
      <c r="L23" s="148"/>
      <c r="M23" s="149" t="str">
        <f aca="false">IF(ISBLANK(AM23),'Item-Roteiro_PONTUA'!$B$20,VLOOKUP(AM23,'Item-Roteiro_PONTUA'!$A$2:$C$86,2,0))</f>
        <v>Desenvolvimento</v>
      </c>
      <c r="N23" s="148" t="s">
        <v>10</v>
      </c>
      <c r="O23" s="149" t="str">
        <f aca="false">IF(ISBLANK(AM23),'Item-Roteiro_PONTUA'!$C$20,VLOOKUP(AM23,'Item-Roteiro_PONTUA'!$A$2:$C$86,3,0))</f>
        <v>Incluída</v>
      </c>
      <c r="P23" s="147"/>
      <c r="Q23" s="147"/>
      <c r="R23" s="147"/>
      <c r="S23" s="147"/>
      <c r="T23" s="147"/>
      <c r="U23" s="147"/>
      <c r="V23" s="147"/>
      <c r="W23" s="147"/>
      <c r="X23" s="147"/>
      <c r="Y23" s="150"/>
      <c r="Z23" s="148"/>
      <c r="AA23" s="148"/>
      <c r="AB23" s="148"/>
      <c r="AC23" s="148"/>
      <c r="AD23" s="148"/>
      <c r="AE23" s="150"/>
      <c r="AF23" s="151"/>
      <c r="AG23" s="152"/>
      <c r="AH23" s="152"/>
      <c r="AI23" s="152"/>
      <c r="AJ23" s="152"/>
      <c r="AK23" s="153"/>
      <c r="AM23" s="155"/>
      <c r="AN23" s="153"/>
      <c r="AO23" s="155"/>
    </row>
    <row r="24" customFormat="false" ht="15" hidden="false" customHeight="false" outlineLevel="0" collapsed="false">
      <c r="B24" s="147"/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9" t="str">
        <f aca="false">IF(ISBLANK(AM24),'Item-Roteiro_PONTUA'!$B$20,VLOOKUP(AM24,'Item-Roteiro_PONTUA'!$A$2:$C$86,2,0))</f>
        <v>Desenvolvimento</v>
      </c>
      <c r="N24" s="148" t="s">
        <v>10</v>
      </c>
      <c r="O24" s="149" t="str">
        <f aca="false">IF(ISBLANK(AM24),'Item-Roteiro_PONTUA'!$C$20,VLOOKUP(AM24,'Item-Roteiro_PONTUA'!$A$2:$C$86,3,0))</f>
        <v>Incluída</v>
      </c>
      <c r="P24" s="147"/>
      <c r="Q24" s="147"/>
      <c r="R24" s="147"/>
      <c r="S24" s="147"/>
      <c r="T24" s="147"/>
      <c r="U24" s="147"/>
      <c r="V24" s="147"/>
      <c r="W24" s="147"/>
      <c r="X24" s="147"/>
      <c r="Y24" s="150"/>
      <c r="Z24" s="148"/>
      <c r="AA24" s="148"/>
      <c r="AB24" s="148"/>
      <c r="AC24" s="148"/>
      <c r="AD24" s="148"/>
      <c r="AE24" s="150"/>
      <c r="AF24" s="151"/>
      <c r="AG24" s="152"/>
      <c r="AH24" s="152"/>
      <c r="AI24" s="152"/>
      <c r="AJ24" s="152"/>
      <c r="AK24" s="153"/>
      <c r="AM24" s="155"/>
      <c r="AN24" s="153"/>
      <c r="AO24" s="155"/>
    </row>
    <row r="25" customFormat="false" ht="15" hidden="false" customHeight="false" outlineLevel="0" collapsed="false">
      <c r="B25" s="147"/>
      <c r="C25" s="147"/>
      <c r="D25" s="148"/>
      <c r="E25" s="148"/>
      <c r="F25" s="148"/>
      <c r="G25" s="148"/>
      <c r="H25" s="148"/>
      <c r="I25" s="148"/>
      <c r="J25" s="148"/>
      <c r="K25" s="148"/>
      <c r="L25" s="148"/>
      <c r="M25" s="149" t="str">
        <f aca="false">IF(ISBLANK(AM25),'Item-Roteiro_PONTUA'!$B$20,VLOOKUP(AM25,'Item-Roteiro_PONTUA'!$A$2:$C$86,2,0))</f>
        <v>Desenvolvimento</v>
      </c>
      <c r="N25" s="148" t="s">
        <v>10</v>
      </c>
      <c r="O25" s="149" t="str">
        <f aca="false">IF(ISBLANK(AM25),'Item-Roteiro_PONTUA'!$C$20,VLOOKUP(AM25,'Item-Roteiro_PONTUA'!$A$2:$C$86,3,0))</f>
        <v>Incluída</v>
      </c>
      <c r="P25" s="147"/>
      <c r="Q25" s="147"/>
      <c r="R25" s="147"/>
      <c r="S25" s="147"/>
      <c r="T25" s="147"/>
      <c r="U25" s="147"/>
      <c r="V25" s="147"/>
      <c r="W25" s="147"/>
      <c r="X25" s="147"/>
      <c r="Y25" s="150"/>
      <c r="Z25" s="148"/>
      <c r="AA25" s="148"/>
      <c r="AB25" s="148"/>
      <c r="AC25" s="148"/>
      <c r="AD25" s="148"/>
      <c r="AE25" s="150"/>
      <c r="AF25" s="151"/>
      <c r="AG25" s="152"/>
      <c r="AH25" s="152"/>
      <c r="AI25" s="152"/>
      <c r="AJ25" s="152"/>
      <c r="AK25" s="153"/>
      <c r="AM25" s="155"/>
      <c r="AN25" s="153"/>
      <c r="AO25" s="155"/>
    </row>
    <row r="26" customFormat="false" ht="15" hidden="false" customHeight="false" outlineLevel="0" collapsed="false">
      <c r="B26" s="147"/>
      <c r="C26" s="147"/>
      <c r="D26" s="148"/>
      <c r="E26" s="148"/>
      <c r="F26" s="148"/>
      <c r="G26" s="148"/>
      <c r="H26" s="148"/>
      <c r="I26" s="148"/>
      <c r="J26" s="148"/>
      <c r="K26" s="148"/>
      <c r="L26" s="148"/>
      <c r="M26" s="149" t="str">
        <f aca="false">IF(ISBLANK(AM26),'Item-Roteiro_PONTUA'!$B$20,VLOOKUP(AM26,'Item-Roteiro_PONTUA'!$A$2:$C$86,2,0))</f>
        <v>Desenvolvimento</v>
      </c>
      <c r="N26" s="148" t="s">
        <v>10</v>
      </c>
      <c r="O26" s="149" t="str">
        <f aca="false">IF(ISBLANK(AM26),'Item-Roteiro_PONTUA'!$C$20,VLOOKUP(AM26,'Item-Roteiro_PONTUA'!$A$2:$C$86,3,0))</f>
        <v>Incluída</v>
      </c>
      <c r="P26" s="147"/>
      <c r="Q26" s="147"/>
      <c r="R26" s="147"/>
      <c r="S26" s="147"/>
      <c r="T26" s="147"/>
      <c r="U26" s="147"/>
      <c r="V26" s="147"/>
      <c r="W26" s="147"/>
      <c r="X26" s="147"/>
      <c r="Y26" s="150"/>
      <c r="Z26" s="148"/>
      <c r="AA26" s="148"/>
      <c r="AB26" s="148"/>
      <c r="AC26" s="148"/>
      <c r="AD26" s="148"/>
      <c r="AE26" s="150"/>
      <c r="AF26" s="151"/>
      <c r="AG26" s="152"/>
      <c r="AH26" s="152"/>
      <c r="AI26" s="152"/>
      <c r="AJ26" s="152"/>
      <c r="AK26" s="153"/>
      <c r="AM26" s="155"/>
      <c r="AN26" s="153"/>
      <c r="AO26" s="155"/>
    </row>
    <row r="27" customFormat="false" ht="15" hidden="false" customHeight="false" outlineLevel="0" collapsed="false">
      <c r="B27" s="147"/>
      <c r="C27" s="147"/>
      <c r="D27" s="148"/>
      <c r="E27" s="148"/>
      <c r="F27" s="148"/>
      <c r="G27" s="148"/>
      <c r="H27" s="148"/>
      <c r="I27" s="148"/>
      <c r="J27" s="148"/>
      <c r="K27" s="148"/>
      <c r="L27" s="148"/>
      <c r="M27" s="149" t="str">
        <f aca="false">IF(ISBLANK(AM27),'Item-Roteiro_PONTUA'!$B$20,VLOOKUP(AM27,'Item-Roteiro_PONTUA'!$A$2:$C$86,2,0))</f>
        <v>Desenvolvimento</v>
      </c>
      <c r="N27" s="148" t="s">
        <v>10</v>
      </c>
      <c r="O27" s="149" t="str">
        <f aca="false">IF(ISBLANK(AM27),'Item-Roteiro_PONTUA'!$C$20,VLOOKUP(AM27,'Item-Roteiro_PONTUA'!$A$2:$C$86,3,0))</f>
        <v>Incluída</v>
      </c>
      <c r="P27" s="147"/>
      <c r="Q27" s="147"/>
      <c r="R27" s="147"/>
      <c r="S27" s="147"/>
      <c r="T27" s="147"/>
      <c r="U27" s="147"/>
      <c r="V27" s="147"/>
      <c r="W27" s="147"/>
      <c r="X27" s="147"/>
      <c r="Y27" s="150"/>
      <c r="Z27" s="148"/>
      <c r="AA27" s="148"/>
      <c r="AB27" s="148"/>
      <c r="AC27" s="148"/>
      <c r="AD27" s="148"/>
      <c r="AE27" s="150"/>
      <c r="AF27" s="151"/>
      <c r="AG27" s="152"/>
      <c r="AH27" s="152"/>
      <c r="AI27" s="152"/>
      <c r="AJ27" s="152"/>
      <c r="AK27" s="153"/>
      <c r="AM27" s="155"/>
      <c r="AN27" s="153"/>
      <c r="AO27" s="155"/>
    </row>
    <row r="28" customFormat="false" ht="15" hidden="false" customHeight="false" outlineLevel="0" collapsed="false">
      <c r="B28" s="147"/>
      <c r="C28" s="147"/>
      <c r="D28" s="148"/>
      <c r="E28" s="148"/>
      <c r="F28" s="148"/>
      <c r="G28" s="148"/>
      <c r="H28" s="148"/>
      <c r="I28" s="148"/>
      <c r="J28" s="148"/>
      <c r="K28" s="148"/>
      <c r="L28" s="148"/>
      <c r="M28" s="149" t="str">
        <f aca="false">IF(ISBLANK(AM28),'Item-Roteiro_PONTUA'!$B$20,VLOOKUP(AM28,'Item-Roteiro_PONTUA'!$A$2:$C$86,2,0))</f>
        <v>Desenvolvimento</v>
      </c>
      <c r="N28" s="148" t="s">
        <v>10</v>
      </c>
      <c r="O28" s="149" t="str">
        <f aca="false">IF(ISBLANK(AM28),'Item-Roteiro_PONTUA'!$C$20,VLOOKUP(AM28,'Item-Roteiro_PONTUA'!$A$2:$C$86,3,0))</f>
        <v>Incluída</v>
      </c>
      <c r="P28" s="147"/>
      <c r="Q28" s="147"/>
      <c r="R28" s="147"/>
      <c r="S28" s="147"/>
      <c r="T28" s="147"/>
      <c r="U28" s="147"/>
      <c r="V28" s="147"/>
      <c r="W28" s="147"/>
      <c r="X28" s="147"/>
      <c r="Y28" s="150"/>
      <c r="Z28" s="148"/>
      <c r="AA28" s="148"/>
      <c r="AB28" s="148"/>
      <c r="AC28" s="148"/>
      <c r="AD28" s="148"/>
      <c r="AE28" s="150"/>
      <c r="AF28" s="151"/>
      <c r="AG28" s="152"/>
      <c r="AH28" s="152"/>
      <c r="AI28" s="152"/>
      <c r="AJ28" s="152"/>
      <c r="AK28" s="153"/>
      <c r="AM28" s="155"/>
      <c r="AN28" s="153"/>
      <c r="AO28" s="155"/>
    </row>
    <row r="29" customFormat="false" ht="15" hidden="false" customHeight="false" outlineLevel="0" collapsed="false">
      <c r="B29" s="147"/>
      <c r="C29" s="147"/>
      <c r="D29" s="148"/>
      <c r="E29" s="148"/>
      <c r="F29" s="148"/>
      <c r="G29" s="148"/>
      <c r="H29" s="148"/>
      <c r="I29" s="148"/>
      <c r="J29" s="148"/>
      <c r="K29" s="148"/>
      <c r="L29" s="148"/>
      <c r="M29" s="149" t="str">
        <f aca="false">IF(ISBLANK(AM29),'Item-Roteiro_PONTUA'!$B$20,VLOOKUP(AM29,'Item-Roteiro_PONTUA'!$A$2:$C$86,2,0))</f>
        <v>Desenvolvimento</v>
      </c>
      <c r="N29" s="148" t="s">
        <v>10</v>
      </c>
      <c r="O29" s="149" t="str">
        <f aca="false">IF(ISBLANK(AM29),'Item-Roteiro_PONTUA'!$C$20,VLOOKUP(AM29,'Item-Roteiro_PONTUA'!$A$2:$C$86,3,0))</f>
        <v>Incluída</v>
      </c>
      <c r="P29" s="147"/>
      <c r="Q29" s="147"/>
      <c r="R29" s="147"/>
      <c r="S29" s="147"/>
      <c r="T29" s="147"/>
      <c r="U29" s="147"/>
      <c r="V29" s="147"/>
      <c r="W29" s="147"/>
      <c r="X29" s="147"/>
      <c r="Y29" s="150"/>
      <c r="Z29" s="148"/>
      <c r="AA29" s="148"/>
      <c r="AB29" s="148"/>
      <c r="AC29" s="148"/>
      <c r="AD29" s="148"/>
      <c r="AE29" s="150"/>
      <c r="AF29" s="151"/>
      <c r="AG29" s="152"/>
      <c r="AH29" s="152"/>
      <c r="AI29" s="152"/>
      <c r="AJ29" s="152"/>
      <c r="AK29" s="153"/>
      <c r="AM29" s="155"/>
      <c r="AN29" s="153"/>
      <c r="AO29" s="155"/>
    </row>
    <row r="30" customFormat="false" ht="15" hidden="false" customHeight="false" outlineLevel="0" collapsed="false">
      <c r="B30" s="147"/>
      <c r="C30" s="147"/>
      <c r="D30" s="148"/>
      <c r="E30" s="148"/>
      <c r="F30" s="148"/>
      <c r="G30" s="148"/>
      <c r="H30" s="148"/>
      <c r="I30" s="148"/>
      <c r="J30" s="148"/>
      <c r="K30" s="148"/>
      <c r="L30" s="148"/>
      <c r="M30" s="149" t="str">
        <f aca="false">IF(ISBLANK(AM30),'Item-Roteiro_PONTUA'!$B$20,VLOOKUP(AM30,'Item-Roteiro_PONTUA'!$A$2:$C$86,2,0))</f>
        <v>Desenvolvimento</v>
      </c>
      <c r="N30" s="148" t="s">
        <v>10</v>
      </c>
      <c r="O30" s="149" t="str">
        <f aca="false">IF(ISBLANK(AM30),'Item-Roteiro_PONTUA'!$C$20,VLOOKUP(AM30,'Item-Roteiro_PONTUA'!$A$2:$C$86,3,0))</f>
        <v>Incluída</v>
      </c>
      <c r="P30" s="147"/>
      <c r="Q30" s="147"/>
      <c r="R30" s="147"/>
      <c r="S30" s="147"/>
      <c r="T30" s="147"/>
      <c r="U30" s="147"/>
      <c r="V30" s="147"/>
      <c r="W30" s="147"/>
      <c r="X30" s="147"/>
      <c r="Y30" s="150"/>
      <c r="Z30" s="148"/>
      <c r="AA30" s="148"/>
      <c r="AB30" s="148"/>
      <c r="AC30" s="148"/>
      <c r="AD30" s="148"/>
      <c r="AE30" s="150"/>
      <c r="AF30" s="151"/>
      <c r="AG30" s="152"/>
      <c r="AH30" s="152"/>
      <c r="AI30" s="152"/>
      <c r="AJ30" s="152"/>
      <c r="AK30" s="153"/>
      <c r="AM30" s="155"/>
      <c r="AN30" s="153"/>
      <c r="AO30" s="155"/>
    </row>
    <row r="31" customFormat="false" ht="15" hidden="false" customHeight="false" outlineLevel="0" collapsed="false">
      <c r="B31" s="147"/>
      <c r="C31" s="147"/>
      <c r="D31" s="148"/>
      <c r="E31" s="148"/>
      <c r="F31" s="148"/>
      <c r="G31" s="148"/>
      <c r="H31" s="148"/>
      <c r="I31" s="148"/>
      <c r="J31" s="148"/>
      <c r="K31" s="148"/>
      <c r="L31" s="148"/>
      <c r="M31" s="149" t="str">
        <f aca="false">IF(ISBLANK(AM31),'Item-Roteiro_PONTUA'!$B$20,VLOOKUP(AM31,'Item-Roteiro_PONTUA'!$A$2:$C$86,2,0))</f>
        <v>Desenvolvimento</v>
      </c>
      <c r="N31" s="148" t="s">
        <v>10</v>
      </c>
      <c r="O31" s="149" t="str">
        <f aca="false">IF(ISBLANK(AM31),'Item-Roteiro_PONTUA'!$C$20,VLOOKUP(AM31,'Item-Roteiro_PONTUA'!$A$2:$C$86,3,0))</f>
        <v>Incluída</v>
      </c>
      <c r="P31" s="147"/>
      <c r="Q31" s="147"/>
      <c r="R31" s="147"/>
      <c r="S31" s="147"/>
      <c r="T31" s="147"/>
      <c r="U31" s="147"/>
      <c r="V31" s="147"/>
      <c r="W31" s="147"/>
      <c r="X31" s="147"/>
      <c r="Y31" s="150"/>
      <c r="Z31" s="148"/>
      <c r="AA31" s="148"/>
      <c r="AB31" s="148"/>
      <c r="AC31" s="148"/>
      <c r="AD31" s="148"/>
      <c r="AE31" s="150"/>
      <c r="AF31" s="151"/>
      <c r="AG31" s="152"/>
      <c r="AH31" s="152"/>
      <c r="AI31" s="152"/>
      <c r="AJ31" s="152"/>
      <c r="AK31" s="153"/>
      <c r="AM31" s="155"/>
      <c r="AN31" s="153"/>
      <c r="AO31" s="155"/>
    </row>
    <row r="32" customFormat="false" ht="15" hidden="false" customHeight="false" outlineLevel="0" collapsed="false">
      <c r="B32" s="147"/>
      <c r="C32" s="147"/>
      <c r="D32" s="148"/>
      <c r="E32" s="148"/>
      <c r="F32" s="148"/>
      <c r="G32" s="148"/>
      <c r="H32" s="148"/>
      <c r="I32" s="148"/>
      <c r="J32" s="148"/>
      <c r="K32" s="148"/>
      <c r="L32" s="148"/>
      <c r="M32" s="149" t="str">
        <f aca="false">IF(ISBLANK(AM32),'Item-Roteiro_PONTUA'!$B$20,VLOOKUP(AM32,'Item-Roteiro_PONTUA'!$A$2:$C$86,2,0))</f>
        <v>Desenvolvimento</v>
      </c>
      <c r="N32" s="148" t="s">
        <v>10</v>
      </c>
      <c r="O32" s="149" t="str">
        <f aca="false">IF(ISBLANK(AM32),'Item-Roteiro_PONTUA'!$C$20,VLOOKUP(AM32,'Item-Roteiro_PONTUA'!$A$2:$C$86,3,0))</f>
        <v>Incluída</v>
      </c>
      <c r="P32" s="147"/>
      <c r="Q32" s="147"/>
      <c r="R32" s="147"/>
      <c r="S32" s="147"/>
      <c r="T32" s="147"/>
      <c r="U32" s="147"/>
      <c r="V32" s="147"/>
      <c r="W32" s="147"/>
      <c r="X32" s="147"/>
      <c r="Y32" s="150"/>
      <c r="Z32" s="148"/>
      <c r="AA32" s="148"/>
      <c r="AB32" s="148"/>
      <c r="AC32" s="148"/>
      <c r="AD32" s="148"/>
      <c r="AE32" s="150"/>
      <c r="AF32" s="151"/>
      <c r="AG32" s="152"/>
      <c r="AH32" s="152"/>
      <c r="AI32" s="152"/>
      <c r="AJ32" s="152"/>
      <c r="AK32" s="153"/>
      <c r="AM32" s="155"/>
      <c r="AN32" s="153"/>
      <c r="AO32" s="155"/>
    </row>
    <row r="33" customFormat="false" ht="15" hidden="false" customHeight="false" outlineLevel="0" collapsed="false">
      <c r="B33" s="147"/>
      <c r="C33" s="147"/>
      <c r="D33" s="148"/>
      <c r="E33" s="148"/>
      <c r="F33" s="148"/>
      <c r="G33" s="148"/>
      <c r="H33" s="148"/>
      <c r="I33" s="148"/>
      <c r="J33" s="148"/>
      <c r="K33" s="148"/>
      <c r="L33" s="148"/>
      <c r="M33" s="149" t="str">
        <f aca="false">IF(ISBLANK(AM33),'Item-Roteiro_PONTUA'!$B$20,VLOOKUP(AM33,'Item-Roteiro_PONTUA'!$A$2:$C$86,2,0))</f>
        <v>Desenvolvimento</v>
      </c>
      <c r="N33" s="148" t="s">
        <v>10</v>
      </c>
      <c r="O33" s="149" t="str">
        <f aca="false">IF(ISBLANK(AM33),'Item-Roteiro_PONTUA'!$C$20,VLOOKUP(AM33,'Item-Roteiro_PONTUA'!$A$2:$C$86,3,0))</f>
        <v>Incluída</v>
      </c>
      <c r="P33" s="147"/>
      <c r="Q33" s="147"/>
      <c r="R33" s="147"/>
      <c r="S33" s="147"/>
      <c r="T33" s="147"/>
      <c r="U33" s="147"/>
      <c r="V33" s="147"/>
      <c r="W33" s="147"/>
      <c r="X33" s="147"/>
      <c r="Y33" s="150"/>
      <c r="Z33" s="148"/>
      <c r="AA33" s="148"/>
      <c r="AB33" s="148"/>
      <c r="AC33" s="148"/>
      <c r="AD33" s="148"/>
      <c r="AE33" s="150"/>
      <c r="AF33" s="151"/>
      <c r="AG33" s="152"/>
      <c r="AH33" s="152"/>
      <c r="AI33" s="152"/>
      <c r="AJ33" s="152"/>
      <c r="AK33" s="153"/>
      <c r="AM33" s="155"/>
      <c r="AN33" s="153"/>
      <c r="AO33" s="155"/>
    </row>
    <row r="34" customFormat="false" ht="15" hidden="false" customHeight="false" outlineLevel="0" collapsed="false">
      <c r="B34" s="147"/>
      <c r="C34" s="147"/>
      <c r="D34" s="148"/>
      <c r="E34" s="148"/>
      <c r="F34" s="148"/>
      <c r="G34" s="148"/>
      <c r="H34" s="148"/>
      <c r="I34" s="148"/>
      <c r="J34" s="148"/>
      <c r="K34" s="148"/>
      <c r="L34" s="148"/>
      <c r="M34" s="149" t="str">
        <f aca="false">IF(ISBLANK(AM34),'Item-Roteiro_PONTUA'!$B$20,VLOOKUP(AM34,'Item-Roteiro_PONTUA'!$A$2:$C$86,2,0))</f>
        <v>Desenvolvimento</v>
      </c>
      <c r="N34" s="148" t="s">
        <v>10</v>
      </c>
      <c r="O34" s="149" t="str">
        <f aca="false">IF(ISBLANK(AM34),'Item-Roteiro_PONTUA'!$C$20,VLOOKUP(AM34,'Item-Roteiro_PONTUA'!$A$2:$C$86,3,0))</f>
        <v>Incluída</v>
      </c>
      <c r="P34" s="147"/>
      <c r="Q34" s="147"/>
      <c r="R34" s="147"/>
      <c r="S34" s="147"/>
      <c r="T34" s="147"/>
      <c r="U34" s="147"/>
      <c r="V34" s="147"/>
      <c r="W34" s="147"/>
      <c r="X34" s="147"/>
      <c r="Y34" s="150"/>
      <c r="Z34" s="148"/>
      <c r="AA34" s="148"/>
      <c r="AB34" s="148"/>
      <c r="AC34" s="148"/>
      <c r="AD34" s="148"/>
      <c r="AE34" s="150"/>
      <c r="AF34" s="151"/>
      <c r="AG34" s="152"/>
      <c r="AH34" s="152"/>
      <c r="AI34" s="152"/>
      <c r="AJ34" s="152"/>
      <c r="AK34" s="153"/>
      <c r="AM34" s="155"/>
      <c r="AN34" s="153"/>
      <c r="AO34" s="155"/>
    </row>
    <row r="35" customFormat="false" ht="15" hidden="false" customHeight="false" outlineLevel="0" collapsed="false">
      <c r="B35" s="147"/>
      <c r="C35" s="147"/>
      <c r="D35" s="148"/>
      <c r="E35" s="148"/>
      <c r="F35" s="148"/>
      <c r="G35" s="148"/>
      <c r="H35" s="148"/>
      <c r="I35" s="148"/>
      <c r="J35" s="148"/>
      <c r="K35" s="148"/>
      <c r="L35" s="148"/>
      <c r="M35" s="149" t="str">
        <f aca="false">IF(ISBLANK(AM35),'Item-Roteiro_PONTUA'!$B$20,VLOOKUP(AM35,'Item-Roteiro_PONTUA'!$A$2:$C$86,2,0))</f>
        <v>Desenvolvimento</v>
      </c>
      <c r="N35" s="148" t="s">
        <v>10</v>
      </c>
      <c r="O35" s="149" t="str">
        <f aca="false">IF(ISBLANK(AM35),'Item-Roteiro_PONTUA'!$C$20,VLOOKUP(AM35,'Item-Roteiro_PONTUA'!$A$2:$C$86,3,0))</f>
        <v>Incluída</v>
      </c>
      <c r="P35" s="147"/>
      <c r="Q35" s="147"/>
      <c r="R35" s="147"/>
      <c r="S35" s="147"/>
      <c r="T35" s="147"/>
      <c r="U35" s="147"/>
      <c r="V35" s="147"/>
      <c r="W35" s="147"/>
      <c r="X35" s="147"/>
      <c r="Y35" s="150"/>
      <c r="Z35" s="148"/>
      <c r="AA35" s="148"/>
      <c r="AB35" s="148"/>
      <c r="AC35" s="148"/>
      <c r="AD35" s="148"/>
      <c r="AE35" s="150"/>
      <c r="AF35" s="151"/>
      <c r="AG35" s="152"/>
      <c r="AH35" s="152"/>
      <c r="AI35" s="152"/>
      <c r="AJ35" s="152"/>
      <c r="AK35" s="153"/>
      <c r="AM35" s="155"/>
      <c r="AN35" s="153"/>
      <c r="AO35" s="155"/>
    </row>
    <row r="36" customFormat="false" ht="15" hidden="false" customHeight="false" outlineLevel="0" collapsed="false">
      <c r="B36" s="147"/>
      <c r="C36" s="147"/>
      <c r="D36" s="148"/>
      <c r="E36" s="148"/>
      <c r="F36" s="148"/>
      <c r="G36" s="148"/>
      <c r="H36" s="148"/>
      <c r="I36" s="148"/>
      <c r="J36" s="148"/>
      <c r="K36" s="148"/>
      <c r="L36" s="148"/>
      <c r="M36" s="149" t="str">
        <f aca="false">IF(ISBLANK(AM36),'Item-Roteiro_PONTUA'!$B$20,VLOOKUP(AM36,'Item-Roteiro_PONTUA'!$A$2:$C$86,2,0))</f>
        <v>Desenvolvimento</v>
      </c>
      <c r="N36" s="148" t="s">
        <v>10</v>
      </c>
      <c r="O36" s="149" t="str">
        <f aca="false">IF(ISBLANK(AM36),'Item-Roteiro_PONTUA'!$C$20,VLOOKUP(AM36,'Item-Roteiro_PONTUA'!$A$2:$C$86,3,0))</f>
        <v>Incluída</v>
      </c>
      <c r="P36" s="147"/>
      <c r="Q36" s="147"/>
      <c r="R36" s="147"/>
      <c r="S36" s="147"/>
      <c r="T36" s="147"/>
      <c r="U36" s="147"/>
      <c r="V36" s="147"/>
      <c r="W36" s="147"/>
      <c r="X36" s="147"/>
      <c r="Y36" s="150"/>
      <c r="Z36" s="148"/>
      <c r="AA36" s="148"/>
      <c r="AB36" s="148"/>
      <c r="AC36" s="148"/>
      <c r="AD36" s="148"/>
      <c r="AE36" s="150"/>
      <c r="AF36" s="151"/>
      <c r="AG36" s="152"/>
      <c r="AH36" s="152"/>
      <c r="AI36" s="152"/>
      <c r="AJ36" s="152"/>
      <c r="AK36" s="153"/>
      <c r="AM36" s="155"/>
      <c r="AN36" s="153"/>
      <c r="AO36" s="155"/>
    </row>
    <row r="37" customFormat="false" ht="15" hidden="false" customHeight="false" outlineLevel="0" collapsed="false">
      <c r="B37" s="147"/>
      <c r="C37" s="147"/>
      <c r="D37" s="148"/>
      <c r="E37" s="148"/>
      <c r="F37" s="148"/>
      <c r="G37" s="148"/>
      <c r="H37" s="148"/>
      <c r="I37" s="148"/>
      <c r="J37" s="148"/>
      <c r="K37" s="148"/>
      <c r="L37" s="148"/>
      <c r="M37" s="149" t="str">
        <f aca="false">IF(ISBLANK(AM37),'Item-Roteiro_PONTUA'!$B$20,VLOOKUP(AM37,'Item-Roteiro_PONTUA'!$A$2:$C$86,2,0))</f>
        <v>Desenvolvimento</v>
      </c>
      <c r="N37" s="148" t="s">
        <v>10</v>
      </c>
      <c r="O37" s="149" t="str">
        <f aca="false">IF(ISBLANK(AM37),'Item-Roteiro_PONTUA'!$C$20,VLOOKUP(AM37,'Item-Roteiro_PONTUA'!$A$2:$C$86,3,0))</f>
        <v>Incluída</v>
      </c>
      <c r="P37" s="147"/>
      <c r="Q37" s="147"/>
      <c r="R37" s="147"/>
      <c r="S37" s="147"/>
      <c r="T37" s="147"/>
      <c r="U37" s="147"/>
      <c r="V37" s="147"/>
      <c r="W37" s="147"/>
      <c r="X37" s="147"/>
      <c r="Y37" s="150"/>
      <c r="Z37" s="148"/>
      <c r="AA37" s="148"/>
      <c r="AB37" s="148"/>
      <c r="AC37" s="148"/>
      <c r="AD37" s="148"/>
      <c r="AE37" s="150"/>
      <c r="AF37" s="151"/>
      <c r="AG37" s="152"/>
      <c r="AH37" s="152"/>
      <c r="AI37" s="152"/>
      <c r="AJ37" s="152"/>
      <c r="AK37" s="153"/>
      <c r="AM37" s="155"/>
      <c r="AN37" s="153"/>
      <c r="AO37" s="155"/>
    </row>
    <row r="38" customFormat="false" ht="15" hidden="false" customHeight="false" outlineLevel="0" collapsed="false">
      <c r="B38" s="147"/>
      <c r="C38" s="147"/>
      <c r="D38" s="148"/>
      <c r="E38" s="148"/>
      <c r="F38" s="148"/>
      <c r="G38" s="148"/>
      <c r="H38" s="148"/>
      <c r="I38" s="148"/>
      <c r="J38" s="148"/>
      <c r="K38" s="148"/>
      <c r="L38" s="148" t="s">
        <v>10</v>
      </c>
      <c r="M38" s="149" t="str">
        <f aca="false">IF(ISBLANK(AM38),'Item-Roteiro_PONTUA'!$B$20,VLOOKUP(AM38,'Item-Roteiro_PONTUA'!$A$2:$C$86,2,0))</f>
        <v>Desenvolvimento</v>
      </c>
      <c r="N38" s="148" t="s">
        <v>10</v>
      </c>
      <c r="O38" s="149" t="str">
        <f aca="false">IF(ISBLANK(AM38),'Item-Roteiro_PONTUA'!$C$20,VLOOKUP(AM38,'Item-Roteiro_PONTUA'!$A$2:$C$86,3,0))</f>
        <v>Incluída</v>
      </c>
      <c r="P38" s="147"/>
      <c r="Q38" s="147"/>
      <c r="R38" s="147"/>
      <c r="S38" s="147"/>
      <c r="T38" s="147"/>
      <c r="U38" s="147"/>
      <c r="V38" s="147"/>
      <c r="W38" s="147"/>
      <c r="X38" s="147"/>
      <c r="Y38" s="150"/>
      <c r="Z38" s="148"/>
      <c r="AA38" s="148"/>
      <c r="AB38" s="148"/>
      <c r="AC38" s="148"/>
      <c r="AD38" s="148"/>
      <c r="AE38" s="150"/>
      <c r="AF38" s="151" t="str">
        <f aca="false">IF(Y38="Baixa",7,IF(Y38="Média",10,IF(Y38="Alta",15,"*")))</f>
        <v>*</v>
      </c>
      <c r="AG38" s="152"/>
      <c r="AH38" s="152"/>
      <c r="AI38" s="152"/>
      <c r="AJ38" s="152"/>
      <c r="AK38" s="153"/>
      <c r="AL38" s="1" t="s">
        <v>10</v>
      </c>
      <c r="AM38" s="154"/>
      <c r="AN38" s="153"/>
      <c r="AO38" s="154"/>
    </row>
    <row r="39" customFormat="false" ht="15" hidden="false" customHeight="false" outlineLevel="0" collapsed="false">
      <c r="B39" s="129"/>
      <c r="C39" s="129"/>
      <c r="D39" s="13"/>
      <c r="E39" s="13"/>
      <c r="F39" s="13"/>
      <c r="G39" s="13"/>
      <c r="H39" s="13"/>
      <c r="I39" s="13"/>
      <c r="J39" s="13"/>
      <c r="K39" s="13"/>
      <c r="L39" s="13"/>
      <c r="M39" s="129"/>
      <c r="N39" s="13"/>
      <c r="O39" s="129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68"/>
      <c r="AG39" s="168"/>
      <c r="AH39" s="168"/>
      <c r="AI39" s="168"/>
      <c r="AJ39" s="168"/>
      <c r="AK39" s="13"/>
    </row>
    <row r="40" customFormat="false" ht="15" hidden="false" customHeight="false" outlineLevel="0" collapsed="false">
      <c r="D40" s="1" t="s">
        <v>10</v>
      </c>
      <c r="F40" s="1" t="s">
        <v>10</v>
      </c>
      <c r="H40" s="1" t="s">
        <v>10</v>
      </c>
      <c r="J40" s="1" t="s">
        <v>10</v>
      </c>
      <c r="L40" s="1" t="s">
        <v>10</v>
      </c>
      <c r="N40" s="1" t="s">
        <v>10</v>
      </c>
      <c r="P40" s="1" t="s">
        <v>10</v>
      </c>
      <c r="Z40" s="1" t="s">
        <v>10</v>
      </c>
      <c r="AF40" s="1" t="n">
        <f aca="false">SUM(AF19)</f>
        <v>0</v>
      </c>
      <c r="AL40" s="1" t="s">
        <v>10</v>
      </c>
    </row>
    <row r="41" customFormat="false" ht="15" hidden="false" customHeight="false" outlineLevel="0" collapsed="false">
      <c r="C41" s="13" t="s">
        <v>10</v>
      </c>
      <c r="D41" s="1" t="s">
        <v>10</v>
      </c>
      <c r="E41" s="156" t="s">
        <v>183</v>
      </c>
      <c r="F41" s="156"/>
      <c r="G41" s="156"/>
      <c r="H41" s="157"/>
      <c r="I41" s="158" t="s">
        <v>34</v>
      </c>
      <c r="J41" s="158"/>
      <c r="K41" s="158"/>
      <c r="M41" s="159"/>
    </row>
    <row r="42" customFormat="false" ht="15" hidden="false" customHeight="false" outlineLevel="0" collapsed="false">
      <c r="B42" s="160"/>
      <c r="C42" s="160" t="s">
        <v>164</v>
      </c>
      <c r="D42" s="161"/>
      <c r="E42" s="162" t="s">
        <v>177</v>
      </c>
      <c r="F42" s="162"/>
      <c r="G42" s="162"/>
      <c r="H42" s="162"/>
      <c r="I42" s="162"/>
      <c r="J42" s="162"/>
      <c r="K42" s="162"/>
      <c r="M42" s="159"/>
    </row>
    <row r="43" customFormat="false" ht="15" hidden="false" customHeight="false" outlineLevel="0" collapsed="false">
      <c r="B43" s="163"/>
      <c r="C43" s="164" t="s">
        <v>35</v>
      </c>
      <c r="D43" s="163"/>
      <c r="E43" s="165" t="n">
        <f aca="false" t="array" ref="E43:E43">SUMPRODUCT((Y19:Y38=C43)*(LEFT(M19:M38,10)&lt;&gt;"Retrabalho"))</f>
        <v>0</v>
      </c>
      <c r="F43" s="165"/>
      <c r="G43" s="165"/>
      <c r="H43" s="166"/>
      <c r="I43" s="167" t="n">
        <f aca="false" t="array" ref="I43:I43">SUMPRODUCT((Y19:Y38=C43)*(LEFT(M19:M38,10)&lt;&gt;"Retrabalho")*NOT(ISBLANK(AE19:AE38))*AE19:AE38)</f>
        <v>0</v>
      </c>
      <c r="J43" s="167"/>
      <c r="K43" s="167"/>
      <c r="M43" s="159"/>
    </row>
    <row r="44" customFormat="false" ht="15" hidden="false" customHeight="false" outlineLevel="0" collapsed="false">
      <c r="B44" s="163"/>
      <c r="C44" s="164" t="s">
        <v>36</v>
      </c>
      <c r="D44" s="163"/>
      <c r="E44" s="165" t="n">
        <f aca="false" t="array" ref="E44:E44">SUMPRODUCT((Y19:Y38=C44)*(LEFT(M19:M38,10)&lt;&gt;"Retrabalho"))</f>
        <v>0</v>
      </c>
      <c r="F44" s="165"/>
      <c r="G44" s="165"/>
      <c r="H44" s="166"/>
      <c r="I44" s="167" t="n">
        <f aca="false" t="array" ref="I44:I44">SUMPRODUCT((Y19:Y38=C44)*(LEFT(M19:M38,10)&lt;&gt;"Retrabalho")*NOT(ISBLANK(AE19:AE38))*AE19:AE38)</f>
        <v>0</v>
      </c>
      <c r="J44" s="167"/>
      <c r="K44" s="167"/>
      <c r="M44" s="159"/>
    </row>
    <row r="45" customFormat="false" ht="15" hidden="false" customHeight="false" outlineLevel="0" collapsed="false">
      <c r="B45" s="163"/>
      <c r="C45" s="164" t="s">
        <v>37</v>
      </c>
      <c r="D45" s="163"/>
      <c r="E45" s="165" t="n">
        <f aca="false" t="array" ref="E45:E45">SUMPRODUCT((Y19:Y38=C45)*(LEFT(M19:M38,10)&lt;&gt;"Retrabalho"))</f>
        <v>0</v>
      </c>
      <c r="F45" s="165"/>
      <c r="G45" s="165"/>
      <c r="H45" s="166"/>
      <c r="I45" s="167" t="n">
        <f aca="false" t="array" ref="I45:I45">SUMPRODUCT((Y19:Y38=C45)*(LEFT(M19:M38,10)&lt;&gt;"Retrabalho")*NOT(ISBLANK(AE19:AE38))*AE19:AE38)</f>
        <v>0</v>
      </c>
      <c r="J45" s="167"/>
      <c r="K45" s="167"/>
      <c r="M45" s="159"/>
    </row>
    <row r="46" customFormat="false" ht="15" hidden="false" customHeight="false" outlineLevel="0" collapsed="false">
      <c r="C46" s="168"/>
      <c r="E46" s="159"/>
      <c r="F46" s="13"/>
      <c r="G46" s="13"/>
      <c r="H46" s="13"/>
      <c r="I46" s="13"/>
      <c r="J46" s="13"/>
      <c r="K46" s="169"/>
      <c r="M46" s="159"/>
    </row>
    <row r="47" customFormat="false" ht="15" hidden="false" customHeight="false" outlineLevel="0" collapsed="false">
      <c r="C47" s="168"/>
      <c r="E47" s="162" t="s">
        <v>41</v>
      </c>
      <c r="F47" s="162"/>
      <c r="G47" s="162"/>
      <c r="H47" s="162"/>
      <c r="I47" s="162"/>
      <c r="J47" s="162"/>
      <c r="K47" s="162"/>
      <c r="M47" s="159"/>
    </row>
    <row r="48" customFormat="false" ht="15" hidden="false" customHeight="false" outlineLevel="0" collapsed="false">
      <c r="B48" s="163"/>
      <c r="C48" s="164" t="s">
        <v>35</v>
      </c>
      <c r="D48" s="163"/>
      <c r="E48" s="165" t="n">
        <f aca="false" t="array" ref="E48:E48">SUMPRODUCT((Y19:Y38=C48)*(LEFT(M19:M38,10)="Retrabalho"))</f>
        <v>0</v>
      </c>
      <c r="F48" s="165"/>
      <c r="G48" s="165"/>
      <c r="H48" s="166"/>
      <c r="I48" s="167" t="n">
        <f aca="false" t="array" ref="I48:I48">SUMPRODUCT((Y19:Y38=C48)*(LEFT(M19:M38,10)="Retrabalho")*NOT(ISBLANK(AE19:AE38))*AE19:AE38)</f>
        <v>0</v>
      </c>
      <c r="J48" s="167"/>
      <c r="K48" s="167"/>
      <c r="M48" s="159"/>
    </row>
    <row r="49" customFormat="false" ht="15" hidden="false" customHeight="false" outlineLevel="0" collapsed="false">
      <c r="B49" s="163"/>
      <c r="C49" s="164" t="s">
        <v>36</v>
      </c>
      <c r="D49" s="163"/>
      <c r="E49" s="165" t="n">
        <f aca="false" t="array" ref="E49:E49">SUMPRODUCT((Y19:Y38=C49)*(LEFT(M19:M38,10)="Retrabalho"))</f>
        <v>0</v>
      </c>
      <c r="F49" s="165"/>
      <c r="G49" s="165"/>
      <c r="H49" s="166"/>
      <c r="I49" s="167" t="n">
        <f aca="false" t="array" ref="I49:I49">SUMPRODUCT((Y19:Y38=C49)*(LEFT(M19:M38,10)="Retrabalho")*NOT(ISBLANK(AE19:AE38))*AE19:AE38)</f>
        <v>0</v>
      </c>
      <c r="J49" s="167"/>
      <c r="K49" s="167"/>
      <c r="M49" s="159"/>
    </row>
    <row r="50" customFormat="false" ht="15" hidden="false" customHeight="false" outlineLevel="0" collapsed="false">
      <c r="B50" s="163"/>
      <c r="C50" s="164" t="s">
        <v>37</v>
      </c>
      <c r="D50" s="163"/>
      <c r="E50" s="165" t="n">
        <f aca="false" t="array" ref="E50:E50">SUMPRODUCT((Y19:Y38=C50)*(LEFT(M19:M38,10)="Retrabalho"))</f>
        <v>0</v>
      </c>
      <c r="F50" s="165"/>
      <c r="G50" s="165"/>
      <c r="H50" s="166"/>
      <c r="I50" s="167" t="n">
        <f aca="false" t="array" ref="I50:I50">SUMPRODUCT((Y19:Y38=C50)*(LEFT(M19:M38,10)="Retrabalho")*NOT(ISBLANK(AE19:AE38))*AE19:AE38)</f>
        <v>0</v>
      </c>
      <c r="J50" s="167"/>
      <c r="K50" s="167"/>
      <c r="M50" s="159"/>
    </row>
    <row r="51" customFormat="false" ht="15" hidden="false" customHeight="false" outlineLevel="0" collapsed="false">
      <c r="C51" s="168"/>
      <c r="E51" s="159"/>
      <c r="F51" s="13"/>
      <c r="G51" s="13"/>
      <c r="H51" s="13"/>
      <c r="I51" s="13"/>
      <c r="J51" s="13"/>
      <c r="K51" s="169"/>
      <c r="M51" s="159"/>
    </row>
    <row r="52" customFormat="false" ht="15" hidden="false" customHeight="false" outlineLevel="0" collapsed="false">
      <c r="C52" s="168"/>
      <c r="E52" s="162" t="s">
        <v>166</v>
      </c>
      <c r="F52" s="162"/>
      <c r="G52" s="162"/>
      <c r="H52" s="162"/>
      <c r="I52" s="162"/>
      <c r="J52" s="162"/>
      <c r="K52" s="162"/>
      <c r="M52" s="159"/>
    </row>
    <row r="53" customFormat="false" ht="15" hidden="false" customHeight="false" outlineLevel="0" collapsed="false">
      <c r="B53" s="163"/>
      <c r="C53" s="164" t="s">
        <v>35</v>
      </c>
      <c r="D53" s="163"/>
      <c r="E53" s="165" t="n">
        <f aca="false">E43+E48</f>
        <v>0</v>
      </c>
      <c r="F53" s="165"/>
      <c r="G53" s="165"/>
      <c r="H53" s="166"/>
      <c r="I53" s="167" t="n">
        <f aca="false">I43+I48</f>
        <v>0</v>
      </c>
      <c r="J53" s="167"/>
      <c r="K53" s="167"/>
      <c r="M53" s="159"/>
    </row>
    <row r="54" customFormat="false" ht="15" hidden="false" customHeight="false" outlineLevel="0" collapsed="false">
      <c r="B54" s="163"/>
      <c r="C54" s="164" t="s">
        <v>36</v>
      </c>
      <c r="D54" s="163"/>
      <c r="E54" s="165" t="n">
        <f aca="false">E44+E49</f>
        <v>0</v>
      </c>
      <c r="F54" s="165"/>
      <c r="G54" s="165"/>
      <c r="H54" s="166"/>
      <c r="I54" s="167" t="n">
        <f aca="false">I44+I49</f>
        <v>0</v>
      </c>
      <c r="J54" s="167"/>
      <c r="K54" s="167"/>
      <c r="M54" s="159"/>
    </row>
    <row r="55" customFormat="false" ht="15" hidden="false" customHeight="false" outlineLevel="0" collapsed="false">
      <c r="B55" s="163"/>
      <c r="C55" s="164" t="s">
        <v>37</v>
      </c>
      <c r="D55" s="163"/>
      <c r="E55" s="165" t="n">
        <f aca="false">E45+E50</f>
        <v>0</v>
      </c>
      <c r="F55" s="165"/>
      <c r="G55" s="165"/>
      <c r="H55" s="166"/>
      <c r="I55" s="167" t="n">
        <f aca="false">I45+I50</f>
        <v>0</v>
      </c>
      <c r="J55" s="167"/>
      <c r="K55" s="167"/>
      <c r="M55" s="159"/>
    </row>
    <row r="56" customFormat="false" ht="15" hidden="false" customHeight="false" outlineLevel="0" collapsed="false">
      <c r="C56" s="13"/>
      <c r="E56" s="182" t="n">
        <f aca="false">E53+E54+E55</f>
        <v>0</v>
      </c>
      <c r="F56" s="182"/>
      <c r="G56" s="182"/>
      <c r="H56" s="183"/>
      <c r="I56" s="184" t="n">
        <f aca="false">I53+I54+I55</f>
        <v>0</v>
      </c>
      <c r="J56" s="184"/>
      <c r="K56" s="184"/>
      <c r="M56" s="159"/>
    </row>
    <row r="57" customFormat="false" ht="15" hidden="false" customHeight="false" outlineLevel="0" collapsed="false">
      <c r="E57" s="51"/>
      <c r="F57" s="51"/>
      <c r="G57" s="51"/>
      <c r="H57" s="51"/>
      <c r="I57" s="51"/>
      <c r="J57" s="51"/>
      <c r="K57" s="51"/>
    </row>
    <row r="59" customFormat="false" ht="15" hidden="false" customHeight="false" outlineLevel="0" collapsed="false">
      <c r="B59" s="6" t="s">
        <v>178</v>
      </c>
      <c r="C59" s="6"/>
      <c r="D59" s="6"/>
      <c r="E59" s="6"/>
      <c r="F59" s="6"/>
      <c r="G59" s="6"/>
      <c r="H59" s="6"/>
      <c r="I59" s="6"/>
      <c r="J59" s="8"/>
      <c r="K59" s="8" t="e">
        <f aca="false">SUMPRODUCT((O19="Excluída")*AF19)+SUMPRODUCT((O19="Help")*AF19)+SUMPRODUCT((M19="Manutenção em Páginas Estáticas")*AF19)+SUMPRODUCT((M19="Manutenção em Interface")*AF19)+SUMPRODUCT((M19="Retrabalho Alteração de Interface")*AF19)+SUMPRODUCT((M19="Atualização de dados e PF de Domínio")*AF19)+SUMPRODUCT((M19="Testes Não Funcionais / Interoperabilidade")*AF19)+SUMPRODUCT((M19="Pontos de Função de Testes Funcionais")*AF19)+SUMPRODUCT((M19="Projeto de Automação de Testes")*AF19)+SUMPRODUCT((M19="Apuração Especial - Base de Dados – após consulta")*AF19)+SUMPRODUCT((M19="Apuração Especial - Base de Dados – sem consulta")*AF19)</f>
        <v>#VALUE!</v>
      </c>
      <c r="M59" s="159"/>
    </row>
    <row r="60" customFormat="false" ht="15" hidden="false" customHeight="false" outlineLevel="0" collapsed="false">
      <c r="B60" s="6" t="s">
        <v>180</v>
      </c>
      <c r="C60" s="6"/>
      <c r="D60" s="6"/>
      <c r="E60" s="6"/>
      <c r="F60" s="6"/>
      <c r="G60" s="6"/>
      <c r="H60" s="6"/>
      <c r="I60" s="6"/>
      <c r="J60" s="8"/>
      <c r="K60" s="8" t="n">
        <f aca="false">SUMPRODUCT((O19="Excluída")*AE19)+SUMPRODUCT((O19="Help")*AE19)+SUMPRODUCT((M19="Manutenção em Páginas Estáticas")*AE19)+SUMPRODUCT((M19="Manutenção em Interface")*AE19)+SUMPRODUCT((M19="Retrabalho Alteração de Interface")*AE19)+SUMPRODUCT((M19="Atualização de dados e PF de Domínio")*AE19)+SUMPRODUCT((M19="Testes Não Funcionais / Interoperabilidade")*AE19)+SUMPRODUCT((M19="Pontos de Função de Testes Funcionais")*AE19)+SUMPRODUCT((M19="Projeto de Automação de Testes")*AE19)+SUMPRODUCT((M19="Apuração Especial - Base de Dados – após consulta")*AE19)+SUMPRODUCT((M19="Apuração Especial - Base de Dados – sem consulta")*AE19)</f>
        <v>0</v>
      </c>
      <c r="M60" s="159"/>
    </row>
  </sheetData>
  <mergeCells count="54">
    <mergeCell ref="E2:AK2"/>
    <mergeCell ref="B9:AK9"/>
    <mergeCell ref="B12:AK12"/>
    <mergeCell ref="B13:AK13"/>
    <mergeCell ref="B14:AK14"/>
    <mergeCell ref="B15:AK15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E41:G41"/>
    <mergeCell ref="I41:K41"/>
    <mergeCell ref="E42:K42"/>
    <mergeCell ref="E43:G43"/>
    <mergeCell ref="I43:K43"/>
    <mergeCell ref="E44:G44"/>
    <mergeCell ref="I44:K44"/>
    <mergeCell ref="E45:G45"/>
    <mergeCell ref="I45:K45"/>
    <mergeCell ref="E47:K47"/>
    <mergeCell ref="E48:G48"/>
    <mergeCell ref="I48:K48"/>
    <mergeCell ref="E49:G49"/>
    <mergeCell ref="I49:K49"/>
    <mergeCell ref="E50:G50"/>
    <mergeCell ref="I50:K50"/>
    <mergeCell ref="E52:K52"/>
    <mergeCell ref="E53:G53"/>
    <mergeCell ref="I53:K53"/>
    <mergeCell ref="E54:G54"/>
    <mergeCell ref="I54:K54"/>
    <mergeCell ref="E55:G55"/>
    <mergeCell ref="I55:K55"/>
    <mergeCell ref="E56:G56"/>
    <mergeCell ref="I56:K56"/>
    <mergeCell ref="B59:I59"/>
    <mergeCell ref="B60:I60"/>
  </mergeCells>
  <dataValidations count="3">
    <dataValidation allowBlank="true" operator="between" showDropDown="false" showErrorMessage="true" showInputMessage="true" sqref="AM19:AM38 AO19:AO38" type="list">
      <formula1>Validar!$I$2</formula1>
      <formula2>0</formula2>
    </dataValidation>
    <dataValidation allowBlank="true" operator="between" showDropDown="false" showErrorMessage="true" showInputMessage="true" sqref="M19:M38" type="list">
      <formula1>Validar!$G$17:$G$51</formula1>
      <formula2>0</formula2>
    </dataValidation>
    <dataValidation allowBlank="true" operator="between" showDropDown="false" showErrorMessage="true" showInputMessage="true" sqref="O19:O38" type="list">
      <formula1>Validar!$G$2:$G$11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.29"/>
    <col collapsed="false" customWidth="true" hidden="false" outlineLevel="0" max="2" min="2" style="1" width="25.71"/>
    <col collapsed="false" customWidth="true" hidden="false" outlineLevel="0" max="3" min="3" style="1" width="7.71"/>
    <col collapsed="false" customWidth="true" hidden="true" outlineLevel="0" max="4" min="4" style="1" width="11.57"/>
    <col collapsed="false" customWidth="true" hidden="false" outlineLevel="0" max="5" min="5" style="1" width="4.29"/>
    <col collapsed="false" customWidth="true" hidden="true" outlineLevel="0" max="6" min="6" style="1" width="11.57"/>
    <col collapsed="false" customWidth="true" hidden="false" outlineLevel="0" max="7" min="7" style="1" width="10.71"/>
    <col collapsed="false" customWidth="true" hidden="true" outlineLevel="0" max="8" min="8" style="1" width="11.57"/>
    <col collapsed="false" customWidth="true" hidden="false" outlineLevel="0" max="9" min="9" style="1" width="4.86"/>
    <col collapsed="false" customWidth="true" hidden="true" outlineLevel="0" max="10" min="10" style="1" width="11.57"/>
    <col collapsed="false" customWidth="true" hidden="false" outlineLevel="0" max="11" min="11" style="1" width="11.14"/>
    <col collapsed="false" customWidth="true" hidden="true" outlineLevel="0" max="12" min="12" style="1" width="11.57"/>
    <col collapsed="false" customWidth="true" hidden="false" outlineLevel="0" max="13" min="13" style="1" width="25.71"/>
    <col collapsed="false" customWidth="true" hidden="true" outlineLevel="0" max="14" min="14" style="1" width="11.57"/>
    <col collapsed="false" customWidth="true" hidden="false" outlineLevel="0" max="15" min="15" style="1" width="12.71"/>
    <col collapsed="false" customWidth="true" hidden="true" outlineLevel="0" max="24" min="16" style="1" width="11.57"/>
    <col collapsed="false" customWidth="true" hidden="false" outlineLevel="0" max="25" min="25" style="1" width="8.71"/>
    <col collapsed="false" customWidth="true" hidden="true" outlineLevel="0" max="30" min="26" style="1" width="11.57"/>
    <col collapsed="false" customWidth="true" hidden="false" outlineLevel="0" max="31" min="31" style="1" width="7.71"/>
    <col collapsed="false" customWidth="false" hidden="true" outlineLevel="0" max="36" min="32" style="1" width="9.14"/>
    <col collapsed="false" customWidth="true" hidden="false" outlineLevel="0" max="37" min="37" style="1" width="34.42"/>
    <col collapsed="false" customWidth="true" hidden="false" outlineLevel="0" max="38" min="38" style="1" width="0.14"/>
    <col collapsed="false" customWidth="true" hidden="true" outlineLevel="0" max="39" min="39" style="127" width="7.15"/>
    <col collapsed="false" customWidth="true" hidden="false" outlineLevel="0" max="40" min="40" style="1" width="26.58"/>
    <col collapsed="false" customWidth="false" hidden="false" outlineLevel="0" max="1024" min="41" style="1" width="9.14"/>
  </cols>
  <sheetData>
    <row r="1" customFormat="false" ht="15" hidden="false" customHeight="false" outlineLevel="0" collapsed="false">
      <c r="A1" s="185"/>
    </row>
    <row r="2" customFormat="false" ht="15" hidden="false" customHeight="false" outlineLevel="0" collapsed="false">
      <c r="B2" s="4" t="s">
        <v>144</v>
      </c>
      <c r="E2" s="128" t="s">
        <v>167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customFormat="false" ht="15" hidden="true" customHeight="false" outlineLevel="0" collapsed="false">
      <c r="B3" s="4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</row>
    <row r="4" customFormat="false" ht="15" hidden="true" customHeight="false" outlineLevel="0" collapsed="false">
      <c r="B4" s="4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</row>
    <row r="5" customFormat="false" ht="15" hidden="true" customHeight="false" outlineLevel="0" collapsed="false">
      <c r="B5" s="4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</row>
    <row r="6" customFormat="false" ht="15" hidden="true" customHeight="false" outlineLevel="0" collapsed="false">
      <c r="B6" s="4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</row>
    <row r="7" customFormat="false" ht="15" hidden="true" customHeight="false" outlineLevel="0" collapsed="false">
      <c r="B7" s="4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</row>
    <row r="9" customFormat="false" ht="15.75" hidden="false" customHeight="false" outlineLevel="0" collapsed="false">
      <c r="B9" s="130" t="s">
        <v>184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</row>
    <row r="10" customFormat="false" ht="15" hidden="true" customHeight="false" outlineLevel="0" collapsed="false"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</row>
    <row r="11" customFormat="false" ht="15" hidden="true" customHeight="false" outlineLevel="0" collapsed="false">
      <c r="B11" s="132" t="s">
        <v>146</v>
      </c>
      <c r="C11" s="133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</row>
    <row r="12" customFormat="false" ht="36.75" hidden="true" customHeight="true" outlineLevel="0" collapsed="false">
      <c r="B12" s="134" t="str">
        <f aca="false">ALI!B12</f>
        <v>Evite editar os dados apresentados, cadastrar novas funcionalidades e/ou alterar seus dados. Esta planilha não realiza cálculos nas funções. Os dados da função foram exportados do Pontua, inclusive a Complexidade e o PF. O valor do PF foi calculado conforme Roteiro de Métricas informado na Contagem cadastrada na aplicação. Do Item de Roteiro é feita a equivalência para Tipo de Demanda e Classificação.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</row>
    <row r="13" customFormat="false" ht="19.5" hidden="true" customHeight="true" outlineLevel="0" collapsed="false">
      <c r="B13" s="135" t="str">
        <f aca="false">ALI!B13</f>
        <v>¹ Em caso de cópia de Tipo de Demanda e/ou Classificação – colar o conteúdo em modo texto puro pois as células possuem fórmulas (menu “Editar” - “Colar Especial...” - “Texto”)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</row>
    <row r="14" customFormat="false" ht="21" hidden="true" customHeight="true" outlineLevel="0" collapsed="false">
      <c r="B14" s="135" t="str">
        <f aca="false">ALI!B14</f>
        <v>Caso seja necessário transfira o conteúdo para a planilha do respectivo cliente. As planilhas podem ser obtidas na página do Escritório de Métricas: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</row>
    <row r="15" customFormat="false" ht="21.75" hidden="true" customHeight="true" outlineLevel="0" collapsed="false">
      <c r="B15" s="173" t="str">
        <f aca="false">ALI!B15</f>
        <v>https://gitcorporativo.serpro/supde/SUPDE-EMPF/wikis/home 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</row>
    <row r="16" customFormat="false" ht="15.75" hidden="false" customHeight="false" outlineLevel="0" collapsed="false"/>
    <row r="17" customFormat="false" ht="45" hidden="false" customHeight="true" outlineLevel="0" collapsed="false">
      <c r="B17" s="174" t="s">
        <v>185</v>
      </c>
      <c r="C17" s="174"/>
      <c r="D17" s="175"/>
      <c r="E17" s="176" t="s">
        <v>173</v>
      </c>
      <c r="F17" s="177"/>
      <c r="G17" s="140" t="s">
        <v>174</v>
      </c>
      <c r="H17" s="177"/>
      <c r="I17" s="176" t="s">
        <v>154</v>
      </c>
      <c r="J17" s="177"/>
      <c r="K17" s="140" t="s">
        <v>155</v>
      </c>
      <c r="L17" s="178"/>
      <c r="M17" s="179" t="s">
        <v>156</v>
      </c>
      <c r="N17" s="178"/>
      <c r="O17" s="179" t="s">
        <v>157</v>
      </c>
      <c r="P17" s="178"/>
      <c r="Q17" s="178"/>
      <c r="R17" s="178"/>
      <c r="S17" s="178"/>
      <c r="T17" s="178"/>
      <c r="U17" s="178"/>
      <c r="V17" s="178"/>
      <c r="W17" s="178"/>
      <c r="X17" s="178"/>
      <c r="Y17" s="179" t="s">
        <v>158</v>
      </c>
      <c r="Z17" s="178"/>
      <c r="AA17" s="178"/>
      <c r="AB17" s="178"/>
      <c r="AC17" s="178"/>
      <c r="AD17" s="178"/>
      <c r="AE17" s="179" t="s">
        <v>159</v>
      </c>
      <c r="AF17" s="178" t="s">
        <v>160</v>
      </c>
      <c r="AG17" s="178"/>
      <c r="AH17" s="178"/>
      <c r="AI17" s="178"/>
      <c r="AJ17" s="178"/>
      <c r="AK17" s="140" t="s">
        <v>161</v>
      </c>
      <c r="AL17" s="180"/>
      <c r="AM17" s="145" t="s">
        <v>175</v>
      </c>
      <c r="AN17" s="140" t="s">
        <v>162</v>
      </c>
      <c r="AO17" s="181"/>
    </row>
    <row r="18" customFormat="false" ht="15.75" hidden="false" customHeight="false" outlineLevel="0" collapsed="false"/>
    <row r="19" customFormat="false" ht="15" hidden="false" customHeight="false" outlineLevel="0" collapsed="false">
      <c r="B19" s="147"/>
      <c r="C19" s="147"/>
      <c r="D19" s="148"/>
      <c r="E19" s="148"/>
      <c r="F19" s="148"/>
      <c r="G19" s="148"/>
      <c r="H19" s="148"/>
      <c r="I19" s="148"/>
      <c r="J19" s="148"/>
      <c r="K19" s="148"/>
      <c r="L19" s="148" t="s">
        <v>10</v>
      </c>
      <c r="M19" s="149" t="str">
        <f aca="false">IF(ISBLANK(AM19),'Item-Roteiro_PONTUA'!$B$20,VLOOKUP(AM19,'Item-Roteiro_PONTUA'!$A$2:$C$86,2,0))</f>
        <v>Desenvolvimento</v>
      </c>
      <c r="N19" s="148" t="s">
        <v>10</v>
      </c>
      <c r="O19" s="149" t="str">
        <f aca="false">IF(ISBLANK(AM19),'Item-Roteiro_PONTUA'!$C$20,VLOOKUP(AM19,'Item-Roteiro_PONTUA'!$A$2:$C$86,3,0))</f>
        <v>Incluída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50"/>
      <c r="Z19" s="148"/>
      <c r="AA19" s="148"/>
      <c r="AB19" s="148"/>
      <c r="AC19" s="148"/>
      <c r="AD19" s="148"/>
      <c r="AE19" s="150"/>
      <c r="AF19" s="151" t="str">
        <f aca="false">IF(Y19="Baixa",7,IF(Y19="Média",10,IF(Y19="Alta",15,"*")))</f>
        <v>*</v>
      </c>
      <c r="AG19" s="152"/>
      <c r="AH19" s="152"/>
      <c r="AI19" s="152"/>
      <c r="AJ19" s="152"/>
      <c r="AK19" s="153"/>
      <c r="AL19" s="1" t="s">
        <v>10</v>
      </c>
      <c r="AM19" s="154"/>
      <c r="AN19" s="153"/>
      <c r="AO19" s="154"/>
    </row>
    <row r="20" customFormat="false" ht="15" hidden="false" customHeight="false" outlineLevel="0" collapsed="false">
      <c r="B20" s="147"/>
      <c r="C20" s="147"/>
      <c r="D20" s="148"/>
      <c r="E20" s="148"/>
      <c r="F20" s="148"/>
      <c r="G20" s="148"/>
      <c r="H20" s="148"/>
      <c r="I20" s="148"/>
      <c r="J20" s="148"/>
      <c r="K20" s="148"/>
      <c r="L20" s="148"/>
      <c r="M20" s="149" t="str">
        <f aca="false">IF(ISBLANK(AM20),'Item-Roteiro_PONTUA'!$B$20,VLOOKUP(AM20,'Item-Roteiro_PONTUA'!$A$2:$C$86,2,0))</f>
        <v>Desenvolvimento</v>
      </c>
      <c r="N20" s="148" t="s">
        <v>10</v>
      </c>
      <c r="O20" s="149" t="str">
        <f aca="false">IF(ISBLANK(AM20),'Item-Roteiro_PONTUA'!$C$20,VLOOKUP(AM20,'Item-Roteiro_PONTUA'!$A$2:$C$86,3,0))</f>
        <v>Incluída</v>
      </c>
      <c r="P20" s="147"/>
      <c r="Q20" s="147"/>
      <c r="R20" s="147"/>
      <c r="S20" s="147"/>
      <c r="T20" s="147"/>
      <c r="U20" s="147"/>
      <c r="V20" s="147"/>
      <c r="W20" s="147"/>
      <c r="X20" s="147"/>
      <c r="Y20" s="150"/>
      <c r="Z20" s="148"/>
      <c r="AA20" s="148"/>
      <c r="AB20" s="148"/>
      <c r="AC20" s="148"/>
      <c r="AD20" s="148"/>
      <c r="AE20" s="150"/>
      <c r="AF20" s="151"/>
      <c r="AG20" s="152"/>
      <c r="AH20" s="152"/>
      <c r="AI20" s="152"/>
      <c r="AJ20" s="152"/>
      <c r="AK20" s="153"/>
      <c r="AM20" s="155"/>
      <c r="AN20" s="153"/>
      <c r="AO20" s="155"/>
    </row>
    <row r="21" customFormat="false" ht="15" hidden="false" customHeight="false" outlineLevel="0" collapsed="false">
      <c r="B21" s="147"/>
      <c r="C21" s="147"/>
      <c r="D21" s="148"/>
      <c r="E21" s="148"/>
      <c r="F21" s="148"/>
      <c r="G21" s="148"/>
      <c r="H21" s="148"/>
      <c r="I21" s="148"/>
      <c r="J21" s="148"/>
      <c r="K21" s="148"/>
      <c r="L21" s="148"/>
      <c r="M21" s="149" t="str">
        <f aca="false">IF(ISBLANK(AM21),'Item-Roteiro_PONTUA'!$B$20,VLOOKUP(AM21,'Item-Roteiro_PONTUA'!$A$2:$C$86,2,0))</f>
        <v>Desenvolvimento</v>
      </c>
      <c r="N21" s="148" t="s">
        <v>10</v>
      </c>
      <c r="O21" s="149" t="str">
        <f aca="false">IF(ISBLANK(AM21),'Item-Roteiro_PONTUA'!$C$20,VLOOKUP(AM21,'Item-Roteiro_PONTUA'!$A$2:$C$86,3,0))</f>
        <v>Incluída</v>
      </c>
      <c r="P21" s="147"/>
      <c r="Q21" s="147"/>
      <c r="R21" s="147"/>
      <c r="S21" s="147"/>
      <c r="T21" s="147"/>
      <c r="U21" s="147"/>
      <c r="V21" s="147"/>
      <c r="W21" s="147"/>
      <c r="X21" s="147"/>
      <c r="Y21" s="150"/>
      <c r="Z21" s="148"/>
      <c r="AA21" s="148"/>
      <c r="AB21" s="148"/>
      <c r="AC21" s="148"/>
      <c r="AD21" s="148"/>
      <c r="AE21" s="150"/>
      <c r="AF21" s="151"/>
      <c r="AG21" s="152"/>
      <c r="AH21" s="152"/>
      <c r="AI21" s="152"/>
      <c r="AJ21" s="152"/>
      <c r="AK21" s="153"/>
      <c r="AM21" s="155"/>
      <c r="AN21" s="153"/>
      <c r="AO21" s="155"/>
    </row>
    <row r="22" customFormat="false" ht="15" hidden="false" customHeight="false" outlineLevel="0" collapsed="false">
      <c r="B22" s="147"/>
      <c r="C22" s="147"/>
      <c r="D22" s="148"/>
      <c r="E22" s="148"/>
      <c r="F22" s="148"/>
      <c r="G22" s="148"/>
      <c r="H22" s="148"/>
      <c r="I22" s="148"/>
      <c r="J22" s="148"/>
      <c r="K22" s="148"/>
      <c r="L22" s="148"/>
      <c r="M22" s="149" t="str">
        <f aca="false">IF(ISBLANK(AM22),'Item-Roteiro_PONTUA'!$B$20,VLOOKUP(AM22,'Item-Roteiro_PONTUA'!$A$2:$C$86,2,0))</f>
        <v>Desenvolvimento</v>
      </c>
      <c r="N22" s="148" t="s">
        <v>10</v>
      </c>
      <c r="O22" s="149" t="str">
        <f aca="false">IF(ISBLANK(AM22),'Item-Roteiro_PONTUA'!$C$20,VLOOKUP(AM22,'Item-Roteiro_PONTUA'!$A$2:$C$86,3,0))</f>
        <v>Incluída</v>
      </c>
      <c r="P22" s="147"/>
      <c r="Q22" s="147"/>
      <c r="R22" s="147"/>
      <c r="S22" s="147"/>
      <c r="T22" s="147"/>
      <c r="U22" s="147"/>
      <c r="V22" s="147"/>
      <c r="W22" s="147"/>
      <c r="X22" s="147"/>
      <c r="Y22" s="150"/>
      <c r="Z22" s="148"/>
      <c r="AA22" s="148"/>
      <c r="AB22" s="148"/>
      <c r="AC22" s="148"/>
      <c r="AD22" s="148"/>
      <c r="AE22" s="150"/>
      <c r="AF22" s="151"/>
      <c r="AG22" s="152"/>
      <c r="AH22" s="152"/>
      <c r="AI22" s="152"/>
      <c r="AJ22" s="152"/>
      <c r="AK22" s="153"/>
      <c r="AM22" s="155"/>
      <c r="AN22" s="153"/>
      <c r="AO22" s="155"/>
    </row>
    <row r="23" customFormat="false" ht="15" hidden="false" customHeight="false" outlineLevel="0" collapsed="false">
      <c r="B23" s="147"/>
      <c r="C23" s="147"/>
      <c r="D23" s="148"/>
      <c r="E23" s="148"/>
      <c r="F23" s="148"/>
      <c r="G23" s="148"/>
      <c r="H23" s="148"/>
      <c r="I23" s="148"/>
      <c r="J23" s="148"/>
      <c r="K23" s="148"/>
      <c r="L23" s="148"/>
      <c r="M23" s="149" t="str">
        <f aca="false">IF(ISBLANK(AM23),'Item-Roteiro_PONTUA'!$B$20,VLOOKUP(AM23,'Item-Roteiro_PONTUA'!$A$2:$C$86,2,0))</f>
        <v>Desenvolvimento</v>
      </c>
      <c r="N23" s="148" t="s">
        <v>10</v>
      </c>
      <c r="O23" s="149" t="str">
        <f aca="false">IF(ISBLANK(AM23),'Item-Roteiro_PONTUA'!$C$20,VLOOKUP(AM23,'Item-Roteiro_PONTUA'!$A$2:$C$86,3,0))</f>
        <v>Incluída</v>
      </c>
      <c r="P23" s="147"/>
      <c r="Q23" s="147"/>
      <c r="R23" s="147"/>
      <c r="S23" s="147"/>
      <c r="T23" s="147"/>
      <c r="U23" s="147"/>
      <c r="V23" s="147"/>
      <c r="W23" s="147"/>
      <c r="X23" s="147"/>
      <c r="Y23" s="150"/>
      <c r="Z23" s="148"/>
      <c r="AA23" s="148"/>
      <c r="AB23" s="148"/>
      <c r="AC23" s="148"/>
      <c r="AD23" s="148"/>
      <c r="AE23" s="150"/>
      <c r="AF23" s="151"/>
      <c r="AG23" s="152"/>
      <c r="AH23" s="152"/>
      <c r="AI23" s="152"/>
      <c r="AJ23" s="152"/>
      <c r="AK23" s="153"/>
      <c r="AM23" s="155"/>
      <c r="AN23" s="153"/>
      <c r="AO23" s="155"/>
    </row>
    <row r="24" customFormat="false" ht="15" hidden="false" customHeight="false" outlineLevel="0" collapsed="false">
      <c r="B24" s="147"/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9" t="str">
        <f aca="false">IF(ISBLANK(AM24),'Item-Roteiro_PONTUA'!$B$20,VLOOKUP(AM24,'Item-Roteiro_PONTUA'!$A$2:$C$86,2,0))</f>
        <v>Desenvolvimento</v>
      </c>
      <c r="N24" s="148" t="s">
        <v>10</v>
      </c>
      <c r="O24" s="149" t="str">
        <f aca="false">IF(ISBLANK(AM24),'Item-Roteiro_PONTUA'!$C$20,VLOOKUP(AM24,'Item-Roteiro_PONTUA'!$A$2:$C$86,3,0))</f>
        <v>Incluída</v>
      </c>
      <c r="P24" s="147"/>
      <c r="Q24" s="147"/>
      <c r="R24" s="147"/>
      <c r="S24" s="147"/>
      <c r="T24" s="147"/>
      <c r="U24" s="147"/>
      <c r="V24" s="147"/>
      <c r="W24" s="147"/>
      <c r="X24" s="147"/>
      <c r="Y24" s="150"/>
      <c r="Z24" s="148"/>
      <c r="AA24" s="148"/>
      <c r="AB24" s="148"/>
      <c r="AC24" s="148"/>
      <c r="AD24" s="148"/>
      <c r="AE24" s="150"/>
      <c r="AF24" s="151"/>
      <c r="AG24" s="152"/>
      <c r="AH24" s="152"/>
      <c r="AI24" s="152"/>
      <c r="AJ24" s="152"/>
      <c r="AK24" s="153"/>
      <c r="AM24" s="155"/>
      <c r="AN24" s="153"/>
      <c r="AO24" s="155"/>
    </row>
    <row r="25" customFormat="false" ht="15" hidden="false" customHeight="false" outlineLevel="0" collapsed="false">
      <c r="B25" s="147"/>
      <c r="C25" s="147"/>
      <c r="D25" s="148"/>
      <c r="E25" s="148"/>
      <c r="F25" s="148"/>
      <c r="G25" s="148"/>
      <c r="H25" s="148"/>
      <c r="I25" s="148"/>
      <c r="J25" s="148"/>
      <c r="K25" s="148"/>
      <c r="L25" s="148"/>
      <c r="M25" s="149" t="str">
        <f aca="false">IF(ISBLANK(AM25),'Item-Roteiro_PONTUA'!$B$20,VLOOKUP(AM25,'Item-Roteiro_PONTUA'!$A$2:$C$86,2,0))</f>
        <v>Desenvolvimento</v>
      </c>
      <c r="N25" s="148" t="s">
        <v>10</v>
      </c>
      <c r="O25" s="149" t="str">
        <f aca="false">IF(ISBLANK(AM25),'Item-Roteiro_PONTUA'!$C$20,VLOOKUP(AM25,'Item-Roteiro_PONTUA'!$A$2:$C$86,3,0))</f>
        <v>Incluída</v>
      </c>
      <c r="P25" s="147"/>
      <c r="Q25" s="147"/>
      <c r="R25" s="147"/>
      <c r="S25" s="147"/>
      <c r="T25" s="147"/>
      <c r="U25" s="147"/>
      <c r="V25" s="147"/>
      <c r="W25" s="147"/>
      <c r="X25" s="147"/>
      <c r="Y25" s="150"/>
      <c r="Z25" s="148"/>
      <c r="AA25" s="148"/>
      <c r="AB25" s="148"/>
      <c r="AC25" s="148"/>
      <c r="AD25" s="148"/>
      <c r="AE25" s="150"/>
      <c r="AF25" s="151"/>
      <c r="AG25" s="152"/>
      <c r="AH25" s="152"/>
      <c r="AI25" s="152"/>
      <c r="AJ25" s="152"/>
      <c r="AK25" s="153"/>
      <c r="AM25" s="155"/>
      <c r="AN25" s="153"/>
      <c r="AO25" s="155"/>
    </row>
    <row r="26" customFormat="false" ht="15" hidden="false" customHeight="false" outlineLevel="0" collapsed="false">
      <c r="B26" s="147"/>
      <c r="C26" s="147"/>
      <c r="D26" s="148"/>
      <c r="E26" s="148"/>
      <c r="F26" s="148"/>
      <c r="G26" s="148"/>
      <c r="H26" s="148"/>
      <c r="I26" s="148"/>
      <c r="J26" s="148"/>
      <c r="K26" s="148"/>
      <c r="L26" s="148"/>
      <c r="M26" s="149" t="str">
        <f aca="false">IF(ISBLANK(AM26),'Item-Roteiro_PONTUA'!$B$20,VLOOKUP(AM26,'Item-Roteiro_PONTUA'!$A$2:$C$86,2,0))</f>
        <v>Desenvolvimento</v>
      </c>
      <c r="N26" s="148" t="s">
        <v>10</v>
      </c>
      <c r="O26" s="149" t="str">
        <f aca="false">IF(ISBLANK(AM26),'Item-Roteiro_PONTUA'!$C$20,VLOOKUP(AM26,'Item-Roteiro_PONTUA'!$A$2:$C$86,3,0))</f>
        <v>Incluída</v>
      </c>
      <c r="P26" s="147"/>
      <c r="Q26" s="147"/>
      <c r="R26" s="147"/>
      <c r="S26" s="147"/>
      <c r="T26" s="147"/>
      <c r="U26" s="147"/>
      <c r="V26" s="147"/>
      <c r="W26" s="147"/>
      <c r="X26" s="147"/>
      <c r="Y26" s="150"/>
      <c r="Z26" s="148"/>
      <c r="AA26" s="148"/>
      <c r="AB26" s="148"/>
      <c r="AC26" s="148"/>
      <c r="AD26" s="148"/>
      <c r="AE26" s="150"/>
      <c r="AF26" s="151"/>
      <c r="AG26" s="152"/>
      <c r="AH26" s="152"/>
      <c r="AI26" s="152"/>
      <c r="AJ26" s="152"/>
      <c r="AK26" s="153"/>
      <c r="AM26" s="155"/>
      <c r="AN26" s="153"/>
      <c r="AO26" s="155"/>
    </row>
    <row r="27" customFormat="false" ht="15" hidden="false" customHeight="false" outlineLevel="0" collapsed="false">
      <c r="B27" s="147"/>
      <c r="C27" s="147"/>
      <c r="D27" s="148"/>
      <c r="E27" s="148"/>
      <c r="F27" s="148"/>
      <c r="G27" s="148"/>
      <c r="H27" s="148"/>
      <c r="I27" s="148"/>
      <c r="J27" s="148"/>
      <c r="K27" s="148"/>
      <c r="L27" s="148"/>
      <c r="M27" s="149" t="str">
        <f aca="false">IF(ISBLANK(AM27),'Item-Roteiro_PONTUA'!$B$20,VLOOKUP(AM27,'Item-Roteiro_PONTUA'!$A$2:$C$86,2,0))</f>
        <v>Desenvolvimento</v>
      </c>
      <c r="N27" s="148" t="s">
        <v>10</v>
      </c>
      <c r="O27" s="149" t="str">
        <f aca="false">IF(ISBLANK(AM27),'Item-Roteiro_PONTUA'!$C$20,VLOOKUP(AM27,'Item-Roteiro_PONTUA'!$A$2:$C$86,3,0))</f>
        <v>Incluída</v>
      </c>
      <c r="P27" s="147"/>
      <c r="Q27" s="147"/>
      <c r="R27" s="147"/>
      <c r="S27" s="147"/>
      <c r="T27" s="147"/>
      <c r="U27" s="147"/>
      <c r="V27" s="147"/>
      <c r="W27" s="147"/>
      <c r="X27" s="147"/>
      <c r="Y27" s="150"/>
      <c r="Z27" s="148"/>
      <c r="AA27" s="148"/>
      <c r="AB27" s="148"/>
      <c r="AC27" s="148"/>
      <c r="AD27" s="148"/>
      <c r="AE27" s="150"/>
      <c r="AF27" s="151"/>
      <c r="AG27" s="152"/>
      <c r="AH27" s="152"/>
      <c r="AI27" s="152"/>
      <c r="AJ27" s="152"/>
      <c r="AK27" s="153"/>
      <c r="AM27" s="155"/>
      <c r="AN27" s="153"/>
      <c r="AO27" s="155"/>
    </row>
    <row r="28" customFormat="false" ht="15" hidden="false" customHeight="false" outlineLevel="0" collapsed="false">
      <c r="B28" s="147"/>
      <c r="C28" s="147"/>
      <c r="D28" s="148"/>
      <c r="E28" s="148"/>
      <c r="F28" s="148"/>
      <c r="G28" s="148"/>
      <c r="H28" s="148"/>
      <c r="I28" s="148"/>
      <c r="J28" s="148"/>
      <c r="K28" s="148"/>
      <c r="L28" s="148"/>
      <c r="M28" s="149" t="str">
        <f aca="false">IF(ISBLANK(AM28),'Item-Roteiro_PONTUA'!$B$20,VLOOKUP(AM28,'Item-Roteiro_PONTUA'!$A$2:$C$86,2,0))</f>
        <v>Desenvolvimento</v>
      </c>
      <c r="N28" s="148" t="s">
        <v>10</v>
      </c>
      <c r="O28" s="149" t="str">
        <f aca="false">IF(ISBLANK(AM28),'Item-Roteiro_PONTUA'!$C$20,VLOOKUP(AM28,'Item-Roteiro_PONTUA'!$A$2:$C$86,3,0))</f>
        <v>Incluída</v>
      </c>
      <c r="P28" s="147"/>
      <c r="Q28" s="147"/>
      <c r="R28" s="147"/>
      <c r="S28" s="147"/>
      <c r="T28" s="147"/>
      <c r="U28" s="147"/>
      <c r="V28" s="147"/>
      <c r="W28" s="147"/>
      <c r="X28" s="147"/>
      <c r="Y28" s="150"/>
      <c r="Z28" s="148"/>
      <c r="AA28" s="148"/>
      <c r="AB28" s="148"/>
      <c r="AC28" s="148"/>
      <c r="AD28" s="148"/>
      <c r="AE28" s="150"/>
      <c r="AF28" s="151"/>
      <c r="AG28" s="152"/>
      <c r="AH28" s="152"/>
      <c r="AI28" s="152"/>
      <c r="AJ28" s="152"/>
      <c r="AK28" s="153"/>
      <c r="AM28" s="155"/>
      <c r="AN28" s="153"/>
      <c r="AO28" s="155"/>
    </row>
    <row r="29" customFormat="false" ht="15" hidden="false" customHeight="false" outlineLevel="0" collapsed="false">
      <c r="B29" s="147"/>
      <c r="C29" s="147"/>
      <c r="D29" s="148"/>
      <c r="E29" s="148"/>
      <c r="F29" s="148"/>
      <c r="G29" s="148"/>
      <c r="H29" s="148"/>
      <c r="I29" s="148"/>
      <c r="J29" s="148"/>
      <c r="K29" s="148"/>
      <c r="L29" s="148"/>
      <c r="M29" s="149" t="str">
        <f aca="false">IF(ISBLANK(AM29),'Item-Roteiro_PONTUA'!$B$20,VLOOKUP(AM29,'Item-Roteiro_PONTUA'!$A$2:$C$86,2,0))</f>
        <v>Desenvolvimento</v>
      </c>
      <c r="N29" s="148" t="s">
        <v>10</v>
      </c>
      <c r="O29" s="149" t="str">
        <f aca="false">IF(ISBLANK(AM29),'Item-Roteiro_PONTUA'!$C$20,VLOOKUP(AM29,'Item-Roteiro_PONTUA'!$A$2:$C$86,3,0))</f>
        <v>Incluída</v>
      </c>
      <c r="P29" s="147"/>
      <c r="Q29" s="147"/>
      <c r="R29" s="147"/>
      <c r="S29" s="147"/>
      <c r="T29" s="147"/>
      <c r="U29" s="147"/>
      <c r="V29" s="147"/>
      <c r="W29" s="147"/>
      <c r="X29" s="147"/>
      <c r="Y29" s="150"/>
      <c r="Z29" s="148"/>
      <c r="AA29" s="148"/>
      <c r="AB29" s="148"/>
      <c r="AC29" s="148"/>
      <c r="AD29" s="148"/>
      <c r="AE29" s="150"/>
      <c r="AF29" s="151"/>
      <c r="AG29" s="152"/>
      <c r="AH29" s="152"/>
      <c r="AI29" s="152"/>
      <c r="AJ29" s="152"/>
      <c r="AK29" s="153"/>
      <c r="AM29" s="155"/>
      <c r="AN29" s="153"/>
      <c r="AO29" s="155"/>
    </row>
    <row r="30" customFormat="false" ht="15" hidden="false" customHeight="false" outlineLevel="0" collapsed="false">
      <c r="B30" s="147"/>
      <c r="C30" s="147"/>
      <c r="D30" s="148"/>
      <c r="E30" s="148"/>
      <c r="F30" s="148"/>
      <c r="G30" s="148"/>
      <c r="H30" s="148"/>
      <c r="I30" s="148"/>
      <c r="J30" s="148"/>
      <c r="K30" s="148"/>
      <c r="L30" s="148"/>
      <c r="M30" s="149" t="str">
        <f aca="false">IF(ISBLANK(AM30),'Item-Roteiro_PONTUA'!$B$20,VLOOKUP(AM30,'Item-Roteiro_PONTUA'!$A$2:$C$86,2,0))</f>
        <v>Desenvolvimento</v>
      </c>
      <c r="N30" s="148" t="s">
        <v>10</v>
      </c>
      <c r="O30" s="149" t="str">
        <f aca="false">IF(ISBLANK(AM30),'Item-Roteiro_PONTUA'!$C$20,VLOOKUP(AM30,'Item-Roteiro_PONTUA'!$A$2:$C$86,3,0))</f>
        <v>Incluída</v>
      </c>
      <c r="P30" s="147"/>
      <c r="Q30" s="147"/>
      <c r="R30" s="147"/>
      <c r="S30" s="147"/>
      <c r="T30" s="147"/>
      <c r="U30" s="147"/>
      <c r="V30" s="147"/>
      <c r="W30" s="147"/>
      <c r="X30" s="147"/>
      <c r="Y30" s="150"/>
      <c r="Z30" s="148"/>
      <c r="AA30" s="148"/>
      <c r="AB30" s="148"/>
      <c r="AC30" s="148"/>
      <c r="AD30" s="148"/>
      <c r="AE30" s="150"/>
      <c r="AF30" s="151"/>
      <c r="AG30" s="152"/>
      <c r="AH30" s="152"/>
      <c r="AI30" s="152"/>
      <c r="AJ30" s="152"/>
      <c r="AK30" s="153"/>
      <c r="AM30" s="155"/>
      <c r="AN30" s="153"/>
      <c r="AO30" s="155"/>
    </row>
    <row r="31" customFormat="false" ht="15" hidden="false" customHeight="false" outlineLevel="0" collapsed="false">
      <c r="B31" s="147"/>
      <c r="C31" s="147"/>
      <c r="D31" s="148"/>
      <c r="E31" s="148"/>
      <c r="F31" s="148"/>
      <c r="G31" s="148"/>
      <c r="H31" s="148"/>
      <c r="I31" s="148"/>
      <c r="J31" s="148"/>
      <c r="K31" s="148"/>
      <c r="L31" s="148"/>
      <c r="M31" s="149" t="str">
        <f aca="false">IF(ISBLANK(AM31),'Item-Roteiro_PONTUA'!$B$20,VLOOKUP(AM31,'Item-Roteiro_PONTUA'!$A$2:$C$86,2,0))</f>
        <v>Desenvolvimento</v>
      </c>
      <c r="N31" s="148" t="s">
        <v>10</v>
      </c>
      <c r="O31" s="149" t="str">
        <f aca="false">IF(ISBLANK(AM31),'Item-Roteiro_PONTUA'!$C$20,VLOOKUP(AM31,'Item-Roteiro_PONTUA'!$A$2:$C$86,3,0))</f>
        <v>Incluída</v>
      </c>
      <c r="P31" s="147"/>
      <c r="Q31" s="147"/>
      <c r="R31" s="147"/>
      <c r="S31" s="147"/>
      <c r="T31" s="147"/>
      <c r="U31" s="147"/>
      <c r="V31" s="147"/>
      <c r="W31" s="147"/>
      <c r="X31" s="147"/>
      <c r="Y31" s="150"/>
      <c r="Z31" s="148"/>
      <c r="AA31" s="148"/>
      <c r="AB31" s="148"/>
      <c r="AC31" s="148"/>
      <c r="AD31" s="148"/>
      <c r="AE31" s="150"/>
      <c r="AF31" s="151"/>
      <c r="AG31" s="152"/>
      <c r="AH31" s="152"/>
      <c r="AI31" s="152"/>
      <c r="AJ31" s="152"/>
      <c r="AK31" s="153"/>
      <c r="AM31" s="155"/>
      <c r="AN31" s="153"/>
      <c r="AO31" s="155"/>
    </row>
    <row r="32" customFormat="false" ht="15" hidden="false" customHeight="false" outlineLevel="0" collapsed="false">
      <c r="B32" s="147"/>
      <c r="C32" s="147"/>
      <c r="D32" s="148"/>
      <c r="E32" s="148"/>
      <c r="F32" s="148"/>
      <c r="G32" s="148"/>
      <c r="H32" s="148"/>
      <c r="I32" s="148"/>
      <c r="J32" s="148"/>
      <c r="K32" s="148"/>
      <c r="L32" s="148"/>
      <c r="M32" s="149" t="str">
        <f aca="false">IF(ISBLANK(AM32),'Item-Roteiro_PONTUA'!$B$20,VLOOKUP(AM32,'Item-Roteiro_PONTUA'!$A$2:$C$86,2,0))</f>
        <v>Desenvolvimento</v>
      </c>
      <c r="N32" s="148" t="s">
        <v>10</v>
      </c>
      <c r="O32" s="149" t="str">
        <f aca="false">IF(ISBLANK(AM32),'Item-Roteiro_PONTUA'!$C$20,VLOOKUP(AM32,'Item-Roteiro_PONTUA'!$A$2:$C$86,3,0))</f>
        <v>Incluída</v>
      </c>
      <c r="P32" s="147"/>
      <c r="Q32" s="147"/>
      <c r="R32" s="147"/>
      <c r="S32" s="147"/>
      <c r="T32" s="147"/>
      <c r="U32" s="147"/>
      <c r="V32" s="147"/>
      <c r="W32" s="147"/>
      <c r="X32" s="147"/>
      <c r="Y32" s="150"/>
      <c r="Z32" s="148"/>
      <c r="AA32" s="148"/>
      <c r="AB32" s="148"/>
      <c r="AC32" s="148"/>
      <c r="AD32" s="148"/>
      <c r="AE32" s="150"/>
      <c r="AF32" s="151"/>
      <c r="AG32" s="152"/>
      <c r="AH32" s="152"/>
      <c r="AI32" s="152"/>
      <c r="AJ32" s="152"/>
      <c r="AK32" s="153"/>
      <c r="AM32" s="155"/>
      <c r="AN32" s="153"/>
      <c r="AO32" s="155"/>
    </row>
    <row r="33" customFormat="false" ht="15" hidden="false" customHeight="false" outlineLevel="0" collapsed="false">
      <c r="B33" s="147"/>
      <c r="C33" s="147"/>
      <c r="D33" s="148"/>
      <c r="E33" s="148"/>
      <c r="F33" s="148"/>
      <c r="G33" s="148"/>
      <c r="H33" s="148"/>
      <c r="I33" s="148"/>
      <c r="J33" s="148"/>
      <c r="K33" s="148"/>
      <c r="L33" s="148"/>
      <c r="M33" s="149" t="str">
        <f aca="false">IF(ISBLANK(AM33),'Item-Roteiro_PONTUA'!$B$20,VLOOKUP(AM33,'Item-Roteiro_PONTUA'!$A$2:$C$86,2,0))</f>
        <v>Desenvolvimento</v>
      </c>
      <c r="N33" s="148" t="s">
        <v>10</v>
      </c>
      <c r="O33" s="149" t="str">
        <f aca="false">IF(ISBLANK(AM33),'Item-Roteiro_PONTUA'!$C$20,VLOOKUP(AM33,'Item-Roteiro_PONTUA'!$A$2:$C$86,3,0))</f>
        <v>Incluída</v>
      </c>
      <c r="P33" s="147"/>
      <c r="Q33" s="147"/>
      <c r="R33" s="147"/>
      <c r="S33" s="147"/>
      <c r="T33" s="147"/>
      <c r="U33" s="147"/>
      <c r="V33" s="147"/>
      <c r="W33" s="147"/>
      <c r="X33" s="147"/>
      <c r="Y33" s="150"/>
      <c r="Z33" s="148"/>
      <c r="AA33" s="148"/>
      <c r="AB33" s="148"/>
      <c r="AC33" s="148"/>
      <c r="AD33" s="148"/>
      <c r="AE33" s="150"/>
      <c r="AF33" s="151"/>
      <c r="AG33" s="152"/>
      <c r="AH33" s="152"/>
      <c r="AI33" s="152"/>
      <c r="AJ33" s="152"/>
      <c r="AK33" s="153"/>
      <c r="AM33" s="155"/>
      <c r="AN33" s="153"/>
      <c r="AO33" s="155"/>
    </row>
    <row r="34" customFormat="false" ht="15" hidden="false" customHeight="false" outlineLevel="0" collapsed="false">
      <c r="B34" s="147"/>
      <c r="C34" s="147"/>
      <c r="D34" s="148"/>
      <c r="E34" s="148"/>
      <c r="F34" s="148"/>
      <c r="G34" s="148"/>
      <c r="H34" s="148"/>
      <c r="I34" s="148"/>
      <c r="J34" s="148"/>
      <c r="K34" s="148"/>
      <c r="L34" s="148"/>
      <c r="M34" s="149" t="str">
        <f aca="false">IF(ISBLANK(AM34),'Item-Roteiro_PONTUA'!$B$20,VLOOKUP(AM34,'Item-Roteiro_PONTUA'!$A$2:$C$86,2,0))</f>
        <v>Desenvolvimento</v>
      </c>
      <c r="N34" s="148" t="s">
        <v>10</v>
      </c>
      <c r="O34" s="149" t="str">
        <f aca="false">IF(ISBLANK(AM34),'Item-Roteiro_PONTUA'!$C$20,VLOOKUP(AM34,'Item-Roteiro_PONTUA'!$A$2:$C$86,3,0))</f>
        <v>Incluída</v>
      </c>
      <c r="P34" s="147"/>
      <c r="Q34" s="147"/>
      <c r="R34" s="147"/>
      <c r="S34" s="147"/>
      <c r="T34" s="147"/>
      <c r="U34" s="147"/>
      <c r="V34" s="147"/>
      <c r="W34" s="147"/>
      <c r="X34" s="147"/>
      <c r="Y34" s="150"/>
      <c r="Z34" s="148"/>
      <c r="AA34" s="148"/>
      <c r="AB34" s="148"/>
      <c r="AC34" s="148"/>
      <c r="AD34" s="148"/>
      <c r="AE34" s="150"/>
      <c r="AF34" s="151"/>
      <c r="AG34" s="152"/>
      <c r="AH34" s="152"/>
      <c r="AI34" s="152"/>
      <c r="AJ34" s="152"/>
      <c r="AK34" s="153"/>
      <c r="AM34" s="155"/>
      <c r="AN34" s="153"/>
      <c r="AO34" s="155"/>
    </row>
    <row r="35" customFormat="false" ht="15" hidden="false" customHeight="false" outlineLevel="0" collapsed="false">
      <c r="B35" s="147"/>
      <c r="C35" s="147"/>
      <c r="D35" s="148"/>
      <c r="E35" s="148"/>
      <c r="F35" s="148"/>
      <c r="G35" s="148"/>
      <c r="H35" s="148"/>
      <c r="I35" s="148"/>
      <c r="J35" s="148"/>
      <c r="K35" s="148"/>
      <c r="L35" s="148"/>
      <c r="M35" s="149" t="str">
        <f aca="false">IF(ISBLANK(AM35),'Item-Roteiro_PONTUA'!$B$20,VLOOKUP(AM35,'Item-Roteiro_PONTUA'!$A$2:$C$86,2,0))</f>
        <v>Desenvolvimento</v>
      </c>
      <c r="N35" s="148" t="s">
        <v>10</v>
      </c>
      <c r="O35" s="149" t="str">
        <f aca="false">IF(ISBLANK(AM35),'Item-Roteiro_PONTUA'!$C$20,VLOOKUP(AM35,'Item-Roteiro_PONTUA'!$A$2:$C$86,3,0))</f>
        <v>Incluída</v>
      </c>
      <c r="P35" s="147"/>
      <c r="Q35" s="147"/>
      <c r="R35" s="147"/>
      <c r="S35" s="147"/>
      <c r="T35" s="147"/>
      <c r="U35" s="147"/>
      <c r="V35" s="147"/>
      <c r="W35" s="147"/>
      <c r="X35" s="147"/>
      <c r="Y35" s="150"/>
      <c r="Z35" s="148"/>
      <c r="AA35" s="148"/>
      <c r="AB35" s="148"/>
      <c r="AC35" s="148"/>
      <c r="AD35" s="148"/>
      <c r="AE35" s="150"/>
      <c r="AF35" s="151"/>
      <c r="AG35" s="152"/>
      <c r="AH35" s="152"/>
      <c r="AI35" s="152"/>
      <c r="AJ35" s="152"/>
      <c r="AK35" s="153"/>
      <c r="AM35" s="155"/>
      <c r="AN35" s="153"/>
      <c r="AO35" s="155"/>
    </row>
    <row r="36" customFormat="false" ht="15" hidden="false" customHeight="false" outlineLevel="0" collapsed="false">
      <c r="B36" s="147"/>
      <c r="C36" s="147"/>
      <c r="D36" s="148"/>
      <c r="E36" s="148"/>
      <c r="F36" s="148"/>
      <c r="G36" s="148"/>
      <c r="H36" s="148"/>
      <c r="I36" s="148"/>
      <c r="J36" s="148"/>
      <c r="K36" s="148"/>
      <c r="L36" s="148"/>
      <c r="M36" s="149" t="str">
        <f aca="false">IF(ISBLANK(AM36),'Item-Roteiro_PONTUA'!$B$20,VLOOKUP(AM36,'Item-Roteiro_PONTUA'!$A$2:$C$86,2,0))</f>
        <v>Desenvolvimento</v>
      </c>
      <c r="N36" s="148" t="s">
        <v>10</v>
      </c>
      <c r="O36" s="149" t="str">
        <f aca="false">IF(ISBLANK(AM36),'Item-Roteiro_PONTUA'!$C$20,VLOOKUP(AM36,'Item-Roteiro_PONTUA'!$A$2:$C$86,3,0))</f>
        <v>Incluída</v>
      </c>
      <c r="P36" s="147"/>
      <c r="Q36" s="147"/>
      <c r="R36" s="147"/>
      <c r="S36" s="147"/>
      <c r="T36" s="147"/>
      <c r="U36" s="147"/>
      <c r="V36" s="147"/>
      <c r="W36" s="147"/>
      <c r="X36" s="147"/>
      <c r="Y36" s="150"/>
      <c r="Z36" s="148"/>
      <c r="AA36" s="148"/>
      <c r="AB36" s="148"/>
      <c r="AC36" s="148"/>
      <c r="AD36" s="148"/>
      <c r="AE36" s="150"/>
      <c r="AF36" s="151"/>
      <c r="AG36" s="152"/>
      <c r="AH36" s="152"/>
      <c r="AI36" s="152"/>
      <c r="AJ36" s="152"/>
      <c r="AK36" s="153"/>
      <c r="AM36" s="155"/>
      <c r="AN36" s="153"/>
      <c r="AO36" s="155"/>
    </row>
    <row r="37" customFormat="false" ht="15" hidden="false" customHeight="false" outlineLevel="0" collapsed="false">
      <c r="B37" s="147"/>
      <c r="C37" s="147"/>
      <c r="D37" s="148"/>
      <c r="E37" s="148"/>
      <c r="F37" s="148"/>
      <c r="G37" s="148"/>
      <c r="H37" s="148"/>
      <c r="I37" s="148"/>
      <c r="J37" s="148"/>
      <c r="K37" s="148"/>
      <c r="L37" s="148"/>
      <c r="M37" s="149" t="str">
        <f aca="false">IF(ISBLANK(AM37),'Item-Roteiro_PONTUA'!$B$20,VLOOKUP(AM37,'Item-Roteiro_PONTUA'!$A$2:$C$86,2,0))</f>
        <v>Desenvolvimento</v>
      </c>
      <c r="N37" s="148" t="s">
        <v>10</v>
      </c>
      <c r="O37" s="149" t="str">
        <f aca="false">IF(ISBLANK(AM37),'Item-Roteiro_PONTUA'!$C$20,VLOOKUP(AM37,'Item-Roteiro_PONTUA'!$A$2:$C$86,3,0))</f>
        <v>Incluída</v>
      </c>
      <c r="P37" s="147"/>
      <c r="Q37" s="147"/>
      <c r="R37" s="147"/>
      <c r="S37" s="147"/>
      <c r="T37" s="147"/>
      <c r="U37" s="147"/>
      <c r="V37" s="147"/>
      <c r="W37" s="147"/>
      <c r="X37" s="147"/>
      <c r="Y37" s="150"/>
      <c r="Z37" s="148"/>
      <c r="AA37" s="148"/>
      <c r="AB37" s="148"/>
      <c r="AC37" s="148"/>
      <c r="AD37" s="148"/>
      <c r="AE37" s="150"/>
      <c r="AF37" s="151"/>
      <c r="AG37" s="152"/>
      <c r="AH37" s="152"/>
      <c r="AI37" s="152"/>
      <c r="AJ37" s="152"/>
      <c r="AK37" s="153"/>
      <c r="AM37" s="155"/>
      <c r="AN37" s="153"/>
      <c r="AO37" s="155"/>
    </row>
    <row r="38" customFormat="false" ht="15" hidden="false" customHeight="false" outlineLevel="0" collapsed="false">
      <c r="B38" s="147"/>
      <c r="C38" s="147"/>
      <c r="D38" s="148"/>
      <c r="E38" s="148"/>
      <c r="F38" s="148"/>
      <c r="G38" s="148"/>
      <c r="H38" s="148"/>
      <c r="I38" s="148"/>
      <c r="J38" s="148"/>
      <c r="K38" s="148"/>
      <c r="L38" s="148" t="s">
        <v>10</v>
      </c>
      <c r="M38" s="149" t="str">
        <f aca="false">IF(ISBLANK(AM38),'Item-Roteiro_PONTUA'!$B$20,VLOOKUP(AM38,'Item-Roteiro_PONTUA'!$A$2:$C$86,2,0))</f>
        <v>Desenvolvimento</v>
      </c>
      <c r="N38" s="148" t="s">
        <v>10</v>
      </c>
      <c r="O38" s="149" t="str">
        <f aca="false">IF(ISBLANK(AM38),'Item-Roteiro_PONTUA'!$C$20,VLOOKUP(AM38,'Item-Roteiro_PONTUA'!$A$2:$C$86,3,0))</f>
        <v>Incluída</v>
      </c>
      <c r="P38" s="147"/>
      <c r="Q38" s="147"/>
      <c r="R38" s="147"/>
      <c r="S38" s="147"/>
      <c r="T38" s="147"/>
      <c r="U38" s="147"/>
      <c r="V38" s="147"/>
      <c r="W38" s="147"/>
      <c r="X38" s="147"/>
      <c r="Y38" s="150"/>
      <c r="Z38" s="148"/>
      <c r="AA38" s="148"/>
      <c r="AB38" s="148"/>
      <c r="AC38" s="148"/>
      <c r="AD38" s="148"/>
      <c r="AE38" s="150"/>
      <c r="AF38" s="151" t="str">
        <f aca="false">IF(Y38="Baixa",7,IF(Y38="Média",10,IF(Y38="Alta",15,"*")))</f>
        <v>*</v>
      </c>
      <c r="AG38" s="152"/>
      <c r="AH38" s="152"/>
      <c r="AI38" s="152"/>
      <c r="AJ38" s="152"/>
      <c r="AK38" s="153"/>
      <c r="AL38" s="1" t="s">
        <v>10</v>
      </c>
      <c r="AM38" s="154"/>
      <c r="AN38" s="153"/>
      <c r="AO38" s="154"/>
    </row>
    <row r="39" customFormat="false" ht="15" hidden="false" customHeight="false" outlineLevel="0" collapsed="false">
      <c r="B39" s="129"/>
      <c r="C39" s="129"/>
      <c r="D39" s="13"/>
      <c r="E39" s="13"/>
      <c r="F39" s="13"/>
      <c r="G39" s="13"/>
      <c r="H39" s="13"/>
      <c r="I39" s="13"/>
      <c r="J39" s="13"/>
      <c r="K39" s="13"/>
      <c r="L39" s="13"/>
      <c r="M39" s="129"/>
      <c r="N39" s="13"/>
      <c r="O39" s="129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68"/>
      <c r="AG39" s="168"/>
      <c r="AH39" s="168"/>
      <c r="AI39" s="168"/>
      <c r="AJ39" s="168"/>
      <c r="AK39" s="13"/>
    </row>
    <row r="40" customFormat="false" ht="15" hidden="false" customHeight="false" outlineLevel="0" collapsed="false">
      <c r="D40" s="1" t="s">
        <v>10</v>
      </c>
      <c r="F40" s="1" t="s">
        <v>10</v>
      </c>
      <c r="H40" s="1" t="s">
        <v>10</v>
      </c>
      <c r="J40" s="1" t="s">
        <v>10</v>
      </c>
      <c r="L40" s="1" t="s">
        <v>10</v>
      </c>
      <c r="N40" s="1" t="s">
        <v>10</v>
      </c>
      <c r="P40" s="1" t="s">
        <v>10</v>
      </c>
      <c r="Z40" s="1" t="s">
        <v>10</v>
      </c>
      <c r="AF40" s="1" t="n">
        <f aca="false">SUM(AF19)</f>
        <v>0</v>
      </c>
      <c r="AL40" s="1" t="s">
        <v>10</v>
      </c>
    </row>
    <row r="41" customFormat="false" ht="15" hidden="false" customHeight="false" outlineLevel="0" collapsed="false">
      <c r="C41" s="13" t="s">
        <v>10</v>
      </c>
      <c r="D41" s="1" t="s">
        <v>10</v>
      </c>
      <c r="E41" s="156" t="s">
        <v>186</v>
      </c>
      <c r="F41" s="156"/>
      <c r="G41" s="156"/>
      <c r="H41" s="157"/>
      <c r="I41" s="158" t="s">
        <v>34</v>
      </c>
      <c r="J41" s="158"/>
      <c r="K41" s="158"/>
      <c r="M41" s="159"/>
    </row>
    <row r="42" customFormat="false" ht="15" hidden="false" customHeight="false" outlineLevel="0" collapsed="false">
      <c r="B42" s="160"/>
      <c r="C42" s="160" t="s">
        <v>164</v>
      </c>
      <c r="D42" s="161"/>
      <c r="E42" s="162" t="s">
        <v>177</v>
      </c>
      <c r="F42" s="162"/>
      <c r="G42" s="162"/>
      <c r="H42" s="162"/>
      <c r="I42" s="162"/>
      <c r="J42" s="162"/>
      <c r="K42" s="162"/>
      <c r="M42" s="159"/>
    </row>
    <row r="43" customFormat="false" ht="15" hidden="false" customHeight="false" outlineLevel="0" collapsed="false">
      <c r="B43" s="163"/>
      <c r="C43" s="164" t="s">
        <v>35</v>
      </c>
      <c r="D43" s="163"/>
      <c r="E43" s="165" t="n">
        <f aca="false" t="array" ref="E43:E43">SUMPRODUCT((Y19:Y38=C43)*(LEFT(M19:M38,10)&lt;&gt;"Retrabalho"))</f>
        <v>0</v>
      </c>
      <c r="F43" s="165"/>
      <c r="G43" s="165"/>
      <c r="H43" s="166"/>
      <c r="I43" s="167" t="n">
        <f aca="false" t="array" ref="I43:I43">SUMPRODUCT((Y19:Y38=C43)*(LEFT(M19:M38,10)&lt;&gt;"Retrabalho")*NOT(ISBLANK(AE19:AE38))*AE19:AE38)</f>
        <v>0</v>
      </c>
      <c r="J43" s="167"/>
      <c r="K43" s="167"/>
      <c r="M43" s="159"/>
    </row>
    <row r="44" customFormat="false" ht="15" hidden="false" customHeight="false" outlineLevel="0" collapsed="false">
      <c r="B44" s="163"/>
      <c r="C44" s="164" t="s">
        <v>36</v>
      </c>
      <c r="D44" s="163"/>
      <c r="E44" s="165" t="n">
        <f aca="false" t="array" ref="E44:E44">SUMPRODUCT((Y19:Y38=C44)*(LEFT(M19:M38,10)&lt;&gt;"Retrabalho"))</f>
        <v>0</v>
      </c>
      <c r="F44" s="165"/>
      <c r="G44" s="165"/>
      <c r="H44" s="166"/>
      <c r="I44" s="167" t="n">
        <f aca="false" t="array" ref="I44:I44">SUMPRODUCT((Y19:Y38=C44)*(LEFT(M19:M38,10)&lt;&gt;"Retrabalho")*NOT(ISBLANK(AE19:AE38))*AE19:AE38)</f>
        <v>0</v>
      </c>
      <c r="J44" s="167"/>
      <c r="K44" s="167"/>
      <c r="M44" s="159"/>
    </row>
    <row r="45" customFormat="false" ht="15" hidden="false" customHeight="false" outlineLevel="0" collapsed="false">
      <c r="B45" s="163"/>
      <c r="C45" s="164" t="s">
        <v>37</v>
      </c>
      <c r="D45" s="163"/>
      <c r="E45" s="165" t="n">
        <f aca="false" t="array" ref="E45:E45">SUMPRODUCT((Y19:Y38=C45)*(LEFT(M19:M38,10)&lt;&gt;"Retrabalho"))</f>
        <v>0</v>
      </c>
      <c r="F45" s="165"/>
      <c r="G45" s="165"/>
      <c r="H45" s="166"/>
      <c r="I45" s="167" t="n">
        <f aca="false" t="array" ref="I45:I45">SUMPRODUCT((Y19:Y38=C45)*(LEFT(M19:M38,10)&lt;&gt;"Retrabalho")*NOT(ISBLANK(AE19:AE38))*AE19:AE38)</f>
        <v>0</v>
      </c>
      <c r="J45" s="167"/>
      <c r="K45" s="167"/>
      <c r="M45" s="159"/>
    </row>
    <row r="46" customFormat="false" ht="15" hidden="false" customHeight="false" outlineLevel="0" collapsed="false">
      <c r="C46" s="168"/>
      <c r="E46" s="159"/>
      <c r="F46" s="13"/>
      <c r="G46" s="13"/>
      <c r="H46" s="13"/>
      <c r="I46" s="13"/>
      <c r="J46" s="13"/>
      <c r="K46" s="169"/>
      <c r="M46" s="159"/>
    </row>
    <row r="47" customFormat="false" ht="15" hidden="false" customHeight="false" outlineLevel="0" collapsed="false">
      <c r="C47" s="168"/>
      <c r="E47" s="162" t="s">
        <v>41</v>
      </c>
      <c r="F47" s="162"/>
      <c r="G47" s="162"/>
      <c r="H47" s="162"/>
      <c r="I47" s="162"/>
      <c r="J47" s="162"/>
      <c r="K47" s="162"/>
      <c r="M47" s="159"/>
    </row>
    <row r="48" customFormat="false" ht="15" hidden="false" customHeight="false" outlineLevel="0" collapsed="false">
      <c r="B48" s="163"/>
      <c r="C48" s="164" t="s">
        <v>35</v>
      </c>
      <c r="D48" s="163"/>
      <c r="E48" s="165" t="n">
        <f aca="false" t="array" ref="E48:E48">SUMPRODUCT((Y19:Y38=C48)*(LEFT(M19:M38,10)="Retrabalho"))</f>
        <v>0</v>
      </c>
      <c r="F48" s="165"/>
      <c r="G48" s="165"/>
      <c r="H48" s="166"/>
      <c r="I48" s="167" t="n">
        <f aca="false" t="array" ref="I48:I48">SUMPRODUCT((Y19:Y38=C48)*(LEFT(M19:M38,10)="Retrabalho")*NOT(ISBLANK(AE19:AE38))*AE19:AE38)</f>
        <v>0</v>
      </c>
      <c r="J48" s="167"/>
      <c r="K48" s="167"/>
      <c r="M48" s="159"/>
    </row>
    <row r="49" customFormat="false" ht="15" hidden="false" customHeight="false" outlineLevel="0" collapsed="false">
      <c r="B49" s="163"/>
      <c r="C49" s="164" t="s">
        <v>36</v>
      </c>
      <c r="D49" s="163"/>
      <c r="E49" s="165" t="n">
        <f aca="false" t="array" ref="E49:E49">SUMPRODUCT((Y19:Y38=C49)*(LEFT(M19:M38,10)="Retrabalho"))</f>
        <v>0</v>
      </c>
      <c r="F49" s="165"/>
      <c r="G49" s="165"/>
      <c r="H49" s="166"/>
      <c r="I49" s="167" t="n">
        <f aca="false" t="array" ref="I49:I49">SUMPRODUCT((Y19:Y38=C49)*(LEFT(M19:M38,10)="Retrabalho")*NOT(ISBLANK(AE19:AE38))*AE19:AE38)</f>
        <v>0</v>
      </c>
      <c r="J49" s="167"/>
      <c r="K49" s="167"/>
      <c r="M49" s="159"/>
    </row>
    <row r="50" customFormat="false" ht="15" hidden="false" customHeight="false" outlineLevel="0" collapsed="false">
      <c r="B50" s="163"/>
      <c r="C50" s="164" t="s">
        <v>37</v>
      </c>
      <c r="D50" s="163"/>
      <c r="E50" s="165" t="n">
        <f aca="false" t="array" ref="E50:E50">SUMPRODUCT((Y19:Y38=C50)*(LEFT(M19:M38,10)="Retrabalho"))</f>
        <v>0</v>
      </c>
      <c r="F50" s="165"/>
      <c r="G50" s="165"/>
      <c r="H50" s="166"/>
      <c r="I50" s="167" t="n">
        <f aca="false" t="array" ref="I50:I50">SUMPRODUCT((Y19:Y38=C50)*(LEFT(M19:M38,10)="Retrabalho")*NOT(ISBLANK(AE19:AE38))*AE19:AE38)</f>
        <v>0</v>
      </c>
      <c r="J50" s="167"/>
      <c r="K50" s="167"/>
      <c r="M50" s="159"/>
    </row>
    <row r="51" customFormat="false" ht="15" hidden="false" customHeight="false" outlineLevel="0" collapsed="false">
      <c r="C51" s="168"/>
      <c r="E51" s="159"/>
      <c r="F51" s="13"/>
      <c r="G51" s="13"/>
      <c r="H51" s="13"/>
      <c r="I51" s="13"/>
      <c r="J51" s="13"/>
      <c r="K51" s="169"/>
      <c r="M51" s="159"/>
    </row>
    <row r="52" customFormat="false" ht="15" hidden="false" customHeight="false" outlineLevel="0" collapsed="false">
      <c r="C52" s="168"/>
      <c r="E52" s="162" t="s">
        <v>166</v>
      </c>
      <c r="F52" s="162"/>
      <c r="G52" s="162"/>
      <c r="H52" s="162"/>
      <c r="I52" s="162"/>
      <c r="J52" s="162"/>
      <c r="K52" s="162"/>
      <c r="M52" s="159"/>
    </row>
    <row r="53" customFormat="false" ht="15" hidden="false" customHeight="false" outlineLevel="0" collapsed="false">
      <c r="B53" s="163"/>
      <c r="C53" s="164" t="s">
        <v>35</v>
      </c>
      <c r="D53" s="163"/>
      <c r="E53" s="165" t="n">
        <f aca="false">E43+E48</f>
        <v>0</v>
      </c>
      <c r="F53" s="165"/>
      <c r="G53" s="165"/>
      <c r="H53" s="166"/>
      <c r="I53" s="167" t="n">
        <f aca="false">I43+I48</f>
        <v>0</v>
      </c>
      <c r="J53" s="167"/>
      <c r="K53" s="167"/>
      <c r="M53" s="159"/>
    </row>
    <row r="54" customFormat="false" ht="15" hidden="false" customHeight="false" outlineLevel="0" collapsed="false">
      <c r="B54" s="163"/>
      <c r="C54" s="164" t="s">
        <v>36</v>
      </c>
      <c r="D54" s="163"/>
      <c r="E54" s="165" t="n">
        <f aca="false">E44+E49</f>
        <v>0</v>
      </c>
      <c r="F54" s="165"/>
      <c r="G54" s="165"/>
      <c r="H54" s="166"/>
      <c r="I54" s="167" t="n">
        <f aca="false">I44+I49</f>
        <v>0</v>
      </c>
      <c r="J54" s="167"/>
      <c r="K54" s="167"/>
      <c r="M54" s="159"/>
    </row>
    <row r="55" customFormat="false" ht="15" hidden="false" customHeight="false" outlineLevel="0" collapsed="false">
      <c r="B55" s="163"/>
      <c r="C55" s="164" t="s">
        <v>37</v>
      </c>
      <c r="D55" s="163"/>
      <c r="E55" s="165" t="n">
        <f aca="false">E45+E50</f>
        <v>0</v>
      </c>
      <c r="F55" s="165"/>
      <c r="G55" s="165"/>
      <c r="H55" s="166"/>
      <c r="I55" s="167" t="n">
        <f aca="false">I45+I50</f>
        <v>0</v>
      </c>
      <c r="J55" s="167"/>
      <c r="K55" s="167"/>
      <c r="M55" s="159"/>
    </row>
    <row r="56" customFormat="false" ht="15" hidden="false" customHeight="false" outlineLevel="0" collapsed="false">
      <c r="C56" s="13"/>
      <c r="E56" s="182" t="n">
        <f aca="false">E53+E54+E55</f>
        <v>0</v>
      </c>
      <c r="F56" s="182"/>
      <c r="G56" s="182"/>
      <c r="H56" s="183"/>
      <c r="I56" s="184" t="n">
        <f aca="false">I53+I54+I55</f>
        <v>0</v>
      </c>
      <c r="J56" s="184"/>
      <c r="K56" s="184"/>
      <c r="M56" s="159"/>
    </row>
    <row r="57" customFormat="false" ht="15" hidden="false" customHeight="false" outlineLevel="0" collapsed="false">
      <c r="E57" s="51"/>
      <c r="F57" s="51"/>
      <c r="G57" s="51"/>
      <c r="H57" s="51"/>
      <c r="I57" s="51"/>
      <c r="J57" s="51"/>
      <c r="K57" s="51"/>
    </row>
    <row r="59" customFormat="false" ht="15" hidden="false" customHeight="false" outlineLevel="0" collapsed="false">
      <c r="B59" s="6" t="s">
        <v>178</v>
      </c>
      <c r="C59" s="6"/>
      <c r="D59" s="6"/>
      <c r="E59" s="6"/>
      <c r="F59" s="6"/>
      <c r="G59" s="6"/>
      <c r="H59" s="6"/>
      <c r="I59" s="6"/>
      <c r="J59" s="8"/>
      <c r="K59" s="8" t="e">
        <f aca="false">SUMPRODUCT((O19="Excluída")*AF19)+SUMPRODUCT((O19="Help")*AF19)+SUMPRODUCT((M19="Manutenção em Páginas Estáticas")*AF19)+SUMPRODUCT((M19="Manutenção em Interface")*AF19)+SUMPRODUCT((M19="Retrabalho Alteração de Interface")*AF19)+SUMPRODUCT((M19="Atualização de dados e PF de Domínio")*AF19)+SUMPRODUCT((M19="Testes Não Funcionais / Interoperabilidade")*AF19)+SUMPRODUCT((M19="Pontos de Função de Testes Funcionais")*AF19)+SUMPRODUCT((M19="Projeto de Automação de Testes")*AF19)+SUMPRODUCT((M19="Apuração Especial - Base de Dados – após consulta")*AF19)+SUMPRODUCT((M19="Apuração Especial - Base de Dados – sem consulta")*AF19)</f>
        <v>#VALUE!</v>
      </c>
      <c r="M59" s="159"/>
    </row>
    <row r="60" customFormat="false" ht="15" hidden="false" customHeight="false" outlineLevel="0" collapsed="false">
      <c r="B60" s="6" t="s">
        <v>180</v>
      </c>
      <c r="C60" s="6"/>
      <c r="D60" s="6"/>
      <c r="E60" s="6"/>
      <c r="F60" s="6"/>
      <c r="G60" s="6"/>
      <c r="H60" s="6"/>
      <c r="I60" s="6"/>
      <c r="J60" s="8"/>
      <c r="K60" s="8" t="n">
        <f aca="false">SUMPRODUCT((O19="Excluída")*AE19)+SUMPRODUCT((O19="Help")*AE19)+SUMPRODUCT((M19="Manutenção em Páginas Estáticas")*AE19)+SUMPRODUCT((M19="Manutenção em Interface")*AE19)+SUMPRODUCT((M19="Retrabalho Alteração de Interface")*AE19)+SUMPRODUCT((M19="Atualização de dados e PF de Domínio")*AE19)+SUMPRODUCT((M19="Testes Não Funcionais / Interoperabilidade")*AE19)+SUMPRODUCT((M19="Pontos de Função de Testes Funcionais")*AE19)+SUMPRODUCT((M19="Projeto de Automação de Testes")*AE19)+SUMPRODUCT((M19="Apuração Especial - Base de Dados – após consulta")*AE19)+SUMPRODUCT((M19="Apuração Especial - Base de Dados – sem consulta")*AE19)</f>
        <v>0</v>
      </c>
      <c r="M60" s="159"/>
    </row>
  </sheetData>
  <mergeCells count="54">
    <mergeCell ref="E2:AK2"/>
    <mergeCell ref="B9:AK9"/>
    <mergeCell ref="B12:AK12"/>
    <mergeCell ref="B13:AK13"/>
    <mergeCell ref="B14:AK14"/>
    <mergeCell ref="B15:AK15"/>
    <mergeCell ref="B17:C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E41:G41"/>
    <mergeCell ref="I41:K41"/>
    <mergeCell ref="E42:K42"/>
    <mergeCell ref="E43:G43"/>
    <mergeCell ref="I43:K43"/>
    <mergeCell ref="E44:G44"/>
    <mergeCell ref="I44:K44"/>
    <mergeCell ref="E45:G45"/>
    <mergeCell ref="I45:K45"/>
    <mergeCell ref="E47:K47"/>
    <mergeCell ref="E48:G48"/>
    <mergeCell ref="I48:K48"/>
    <mergeCell ref="E49:G49"/>
    <mergeCell ref="I49:K49"/>
    <mergeCell ref="E50:G50"/>
    <mergeCell ref="I50:K50"/>
    <mergeCell ref="E52:K52"/>
    <mergeCell ref="E53:G53"/>
    <mergeCell ref="I53:K53"/>
    <mergeCell ref="E54:G54"/>
    <mergeCell ref="I54:K54"/>
    <mergeCell ref="E55:G55"/>
    <mergeCell ref="I55:K55"/>
    <mergeCell ref="E56:G56"/>
    <mergeCell ref="I56:K56"/>
    <mergeCell ref="B59:I59"/>
    <mergeCell ref="B60:I60"/>
  </mergeCells>
  <dataValidations count="3">
    <dataValidation allowBlank="true" operator="between" showDropDown="false" showErrorMessage="true" showInputMessage="true" sqref="AM19:AM38 AO19:AO38" type="list">
      <formula1>Validar!$I$2</formula1>
      <formula2>0</formula2>
    </dataValidation>
    <dataValidation allowBlank="true" operator="between" showDropDown="false" showErrorMessage="true" showInputMessage="true" sqref="M19:M38" type="list">
      <formula1>Validar!$G$17:$G$51</formula1>
      <formula2>0</formula2>
    </dataValidation>
    <dataValidation allowBlank="true" operator="between" showDropDown="false" showErrorMessage="true" showInputMessage="true" sqref="O19:O38" type="list">
      <formula1>Validar!$G$2:$G$11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65.86"/>
  </cols>
  <sheetData>
    <row r="1" customFormat="false" ht="15" hidden="false" customHeight="false" outlineLevel="0" collapsed="false">
      <c r="A1" s="0" t="s">
        <v>187</v>
      </c>
      <c r="B1" s="0" t="s">
        <v>188</v>
      </c>
      <c r="C1" s="0" t="s">
        <v>189</v>
      </c>
    </row>
    <row r="2" customFormat="false" ht="15" hidden="false" customHeight="false" outlineLevel="0" collapsed="false">
      <c r="A2" s="0" t="s">
        <v>190</v>
      </c>
      <c r="B2" s="0" t="s">
        <v>191</v>
      </c>
      <c r="C2" s="0" t="s">
        <v>192</v>
      </c>
    </row>
    <row r="3" customFormat="false" ht="15" hidden="false" customHeight="false" outlineLevel="0" collapsed="false">
      <c r="A3" s="0" t="s">
        <v>193</v>
      </c>
      <c r="B3" s="0" t="s">
        <v>194</v>
      </c>
      <c r="C3" s="0" t="s">
        <v>192</v>
      </c>
    </row>
    <row r="4" customFormat="false" ht="15" hidden="false" customHeight="false" outlineLevel="0" collapsed="false">
      <c r="A4" s="0" t="s">
        <v>195</v>
      </c>
      <c r="B4" s="0" t="s">
        <v>196</v>
      </c>
      <c r="C4" s="0" t="s">
        <v>192</v>
      </c>
    </row>
    <row r="5" customFormat="false" ht="15" hidden="false" customHeight="false" outlineLevel="0" collapsed="false">
      <c r="A5" s="0" t="s">
        <v>197</v>
      </c>
      <c r="C5" s="0" t="s">
        <v>192</v>
      </c>
    </row>
    <row r="6" customFormat="false" ht="15" hidden="false" customHeight="false" outlineLevel="0" collapsed="false">
      <c r="A6" s="0" t="s">
        <v>198</v>
      </c>
      <c r="B6" s="0" t="s">
        <v>199</v>
      </c>
      <c r="C6" s="0" t="s">
        <v>192</v>
      </c>
    </row>
    <row r="7" customFormat="false" ht="15" hidden="false" customHeight="false" outlineLevel="0" collapsed="false">
      <c r="A7" s="0" t="s">
        <v>200</v>
      </c>
      <c r="B7" s="0" t="s">
        <v>201</v>
      </c>
      <c r="C7" s="0" t="s">
        <v>192</v>
      </c>
    </row>
    <row r="8" customFormat="false" ht="15" hidden="false" customHeight="false" outlineLevel="0" collapsed="false">
      <c r="A8" s="0" t="s">
        <v>202</v>
      </c>
      <c r="B8" s="0" t="s">
        <v>203</v>
      </c>
      <c r="C8" s="0" t="s">
        <v>192</v>
      </c>
    </row>
    <row r="9" customFormat="false" ht="15" hidden="false" customHeight="false" outlineLevel="0" collapsed="false">
      <c r="A9" s="0" t="s">
        <v>204</v>
      </c>
      <c r="B9" s="0" t="s">
        <v>205</v>
      </c>
      <c r="C9" s="0" t="s">
        <v>206</v>
      </c>
    </row>
    <row r="10" customFormat="false" ht="15" hidden="false" customHeight="false" outlineLevel="0" collapsed="false">
      <c r="A10" s="0" t="s">
        <v>207</v>
      </c>
      <c r="B10" s="0" t="s">
        <v>208</v>
      </c>
      <c r="C10" s="0" t="s">
        <v>206</v>
      </c>
    </row>
    <row r="11" customFormat="false" ht="15" hidden="false" customHeight="false" outlineLevel="0" collapsed="false">
      <c r="A11" s="0" t="s">
        <v>209</v>
      </c>
      <c r="B11" s="0" t="s">
        <v>210</v>
      </c>
      <c r="C11" s="0" t="s">
        <v>206</v>
      </c>
    </row>
    <row r="12" customFormat="false" ht="15" hidden="false" customHeight="false" outlineLevel="0" collapsed="false">
      <c r="A12" s="0" t="s">
        <v>211</v>
      </c>
      <c r="B12" s="0" t="s">
        <v>212</v>
      </c>
      <c r="C12" s="0" t="s">
        <v>206</v>
      </c>
    </row>
    <row r="13" customFormat="false" ht="15" hidden="false" customHeight="false" outlineLevel="0" collapsed="false">
      <c r="A13" s="0" t="s">
        <v>213</v>
      </c>
      <c r="B13" s="0" t="s">
        <v>214</v>
      </c>
      <c r="C13" s="0" t="s">
        <v>206</v>
      </c>
    </row>
    <row r="14" customFormat="false" ht="15" hidden="false" customHeight="false" outlineLevel="0" collapsed="false">
      <c r="A14" s="0" t="s">
        <v>215</v>
      </c>
      <c r="B14" s="0" t="s">
        <v>214</v>
      </c>
      <c r="C14" s="0" t="s">
        <v>206</v>
      </c>
    </row>
    <row r="15" customFormat="false" ht="15" hidden="false" customHeight="false" outlineLevel="0" collapsed="false">
      <c r="A15" s="0" t="s">
        <v>216</v>
      </c>
      <c r="B15" s="0" t="s">
        <v>214</v>
      </c>
      <c r="C15" s="0" t="s">
        <v>206</v>
      </c>
    </row>
    <row r="16" customFormat="false" ht="15" hidden="false" customHeight="false" outlineLevel="0" collapsed="false">
      <c r="A16" s="0" t="s">
        <v>217</v>
      </c>
      <c r="B16" s="0" t="s">
        <v>214</v>
      </c>
      <c r="C16" s="0" t="s">
        <v>206</v>
      </c>
    </row>
    <row r="17" customFormat="false" ht="15" hidden="false" customHeight="false" outlineLevel="0" collapsed="false">
      <c r="A17" s="0" t="s">
        <v>218</v>
      </c>
      <c r="B17" s="0" t="s">
        <v>214</v>
      </c>
      <c r="C17" s="0" t="s">
        <v>219</v>
      </c>
    </row>
    <row r="18" customFormat="false" ht="15" hidden="false" customHeight="false" outlineLevel="0" collapsed="false">
      <c r="A18" s="0" t="s">
        <v>220</v>
      </c>
      <c r="B18" s="0" t="s">
        <v>214</v>
      </c>
      <c r="C18" s="0" t="s">
        <v>192</v>
      </c>
    </row>
    <row r="19" customFormat="false" ht="15" hidden="false" customHeight="false" outlineLevel="0" collapsed="false">
      <c r="A19" s="0" t="s">
        <v>221</v>
      </c>
      <c r="B19" s="0" t="s">
        <v>222</v>
      </c>
      <c r="C19" s="0" t="s">
        <v>223</v>
      </c>
    </row>
    <row r="20" customFormat="false" ht="15" hidden="false" customHeight="false" outlineLevel="0" collapsed="false">
      <c r="A20" s="0" t="s">
        <v>224</v>
      </c>
      <c r="B20" s="0" t="s">
        <v>222</v>
      </c>
      <c r="C20" s="0" t="s">
        <v>192</v>
      </c>
    </row>
    <row r="21" customFormat="false" ht="15" hidden="false" customHeight="false" outlineLevel="0" collapsed="false">
      <c r="A21" s="0" t="s">
        <v>225</v>
      </c>
      <c r="B21" s="0" t="s">
        <v>226</v>
      </c>
      <c r="C21" s="0" t="s">
        <v>206</v>
      </c>
    </row>
    <row r="22" customFormat="false" ht="15" hidden="false" customHeight="false" outlineLevel="0" collapsed="false">
      <c r="A22" s="0" t="s">
        <v>227</v>
      </c>
      <c r="B22" s="0" t="s">
        <v>226</v>
      </c>
      <c r="C22" s="0" t="s">
        <v>192</v>
      </c>
    </row>
    <row r="23" customFormat="false" ht="15" hidden="false" customHeight="false" outlineLevel="0" collapsed="false">
      <c r="A23" s="0" t="s">
        <v>228</v>
      </c>
      <c r="B23" s="0" t="s">
        <v>229</v>
      </c>
      <c r="C23" s="0" t="s">
        <v>192</v>
      </c>
    </row>
    <row r="24" customFormat="false" ht="15" hidden="false" customHeight="false" outlineLevel="0" collapsed="false">
      <c r="A24" s="0" t="s">
        <v>230</v>
      </c>
      <c r="B24" s="0" t="s">
        <v>231</v>
      </c>
      <c r="C24" s="0" t="s">
        <v>192</v>
      </c>
    </row>
    <row r="25" customFormat="false" ht="15" hidden="false" customHeight="false" outlineLevel="0" collapsed="false">
      <c r="A25" s="0" t="s">
        <v>232</v>
      </c>
      <c r="B25" s="0" t="s">
        <v>233</v>
      </c>
      <c r="C25" s="0" t="s">
        <v>192</v>
      </c>
    </row>
    <row r="26" customFormat="false" ht="15" hidden="false" customHeight="false" outlineLevel="0" collapsed="false">
      <c r="A26" s="0" t="s">
        <v>234</v>
      </c>
      <c r="B26" s="0" t="s">
        <v>235</v>
      </c>
      <c r="C26" s="0" t="s">
        <v>192</v>
      </c>
    </row>
    <row r="27" customFormat="false" ht="15" hidden="false" customHeight="false" outlineLevel="0" collapsed="false">
      <c r="A27" s="0" t="s">
        <v>236</v>
      </c>
      <c r="B27" s="0" t="s">
        <v>237</v>
      </c>
      <c r="C27" s="0" t="s">
        <v>206</v>
      </c>
    </row>
    <row r="28" customFormat="false" ht="15" hidden="false" customHeight="false" outlineLevel="0" collapsed="false">
      <c r="A28" s="0" t="s">
        <v>238</v>
      </c>
      <c r="B28" s="0" t="s">
        <v>239</v>
      </c>
      <c r="C28" s="0" t="s">
        <v>192</v>
      </c>
    </row>
    <row r="29" customFormat="false" ht="15" hidden="false" customHeight="false" outlineLevel="0" collapsed="false">
      <c r="A29" s="0" t="s">
        <v>240</v>
      </c>
      <c r="B29" s="0" t="s">
        <v>241</v>
      </c>
      <c r="C29" s="0" t="s">
        <v>206</v>
      </c>
    </row>
    <row r="30" customFormat="false" ht="15" hidden="false" customHeight="false" outlineLevel="0" collapsed="false">
      <c r="A30" s="0" t="s">
        <v>242</v>
      </c>
      <c r="B30" s="0" t="s">
        <v>241</v>
      </c>
      <c r="C30" s="0" t="s">
        <v>206</v>
      </c>
    </row>
    <row r="31" customFormat="false" ht="15" hidden="false" customHeight="false" outlineLevel="0" collapsed="false">
      <c r="A31" s="0" t="s">
        <v>243</v>
      </c>
      <c r="B31" s="0" t="s">
        <v>241</v>
      </c>
      <c r="C31" s="0" t="s">
        <v>206</v>
      </c>
    </row>
    <row r="32" customFormat="false" ht="15" hidden="false" customHeight="false" outlineLevel="0" collapsed="false">
      <c r="A32" s="0" t="s">
        <v>244</v>
      </c>
      <c r="B32" s="0" t="s">
        <v>245</v>
      </c>
      <c r="C32" s="0" t="s">
        <v>206</v>
      </c>
    </row>
    <row r="33" customFormat="false" ht="15" hidden="false" customHeight="false" outlineLevel="0" collapsed="false">
      <c r="A33" s="0" t="s">
        <v>246</v>
      </c>
      <c r="B33" s="0" t="s">
        <v>245</v>
      </c>
      <c r="C33" s="0" t="s">
        <v>206</v>
      </c>
    </row>
    <row r="34" customFormat="false" ht="15" hidden="false" customHeight="false" outlineLevel="0" collapsed="false">
      <c r="A34" s="0" t="s">
        <v>247</v>
      </c>
      <c r="B34" s="0" t="s">
        <v>245</v>
      </c>
      <c r="C34" s="0" t="s">
        <v>206</v>
      </c>
    </row>
    <row r="35" customFormat="false" ht="15" hidden="false" customHeight="false" outlineLevel="0" collapsed="false">
      <c r="A35" s="0" t="s">
        <v>248</v>
      </c>
      <c r="B35" s="0" t="s">
        <v>245</v>
      </c>
      <c r="C35" s="0" t="s">
        <v>206</v>
      </c>
    </row>
    <row r="36" customFormat="false" ht="15" hidden="false" customHeight="false" outlineLevel="0" collapsed="false">
      <c r="A36" s="0" t="s">
        <v>249</v>
      </c>
      <c r="B36" s="0" t="s">
        <v>250</v>
      </c>
      <c r="C36" s="0" t="s">
        <v>206</v>
      </c>
    </row>
    <row r="37" customFormat="false" ht="15" hidden="false" customHeight="false" outlineLevel="0" collapsed="false">
      <c r="A37" s="0" t="s">
        <v>251</v>
      </c>
      <c r="B37" s="0" t="s">
        <v>250</v>
      </c>
      <c r="C37" s="0" t="s">
        <v>192</v>
      </c>
    </row>
    <row r="38" customFormat="false" ht="15" hidden="false" customHeight="false" outlineLevel="0" collapsed="false">
      <c r="A38" s="0" t="s">
        <v>252</v>
      </c>
      <c r="C38" s="0" t="s">
        <v>252</v>
      </c>
    </row>
    <row r="39" customFormat="false" ht="15" hidden="false" customHeight="false" outlineLevel="0" collapsed="false">
      <c r="A39" s="0" t="s">
        <v>253</v>
      </c>
      <c r="B39" s="0" t="s">
        <v>245</v>
      </c>
      <c r="C39" s="0" t="s">
        <v>252</v>
      </c>
    </row>
    <row r="40" customFormat="false" ht="15" hidden="false" customHeight="false" outlineLevel="0" collapsed="false">
      <c r="A40" s="0" t="s">
        <v>254</v>
      </c>
      <c r="C40" s="0" t="s">
        <v>254</v>
      </c>
    </row>
    <row r="41" customFormat="false" ht="15" hidden="false" customHeight="false" outlineLevel="0" collapsed="false">
      <c r="A41" s="0" t="s">
        <v>255</v>
      </c>
      <c r="B41" s="0" t="s">
        <v>256</v>
      </c>
      <c r="C41" s="0" t="s">
        <v>206</v>
      </c>
    </row>
    <row r="42" customFormat="false" ht="15" hidden="false" customHeight="false" outlineLevel="0" collapsed="false">
      <c r="A42" s="0" t="s">
        <v>257</v>
      </c>
      <c r="B42" s="0" t="s">
        <v>256</v>
      </c>
      <c r="C42" s="0" t="s">
        <v>206</v>
      </c>
    </row>
    <row r="43" customFormat="false" ht="15" hidden="false" customHeight="false" outlineLevel="0" collapsed="false">
      <c r="A43" s="0" t="s">
        <v>258</v>
      </c>
      <c r="B43" s="0" t="s">
        <v>256</v>
      </c>
      <c r="C43" s="0" t="s">
        <v>206</v>
      </c>
    </row>
    <row r="44" customFormat="false" ht="15" hidden="false" customHeight="false" outlineLevel="0" collapsed="false">
      <c r="A44" s="0" t="s">
        <v>259</v>
      </c>
      <c r="B44" s="0" t="s">
        <v>256</v>
      </c>
      <c r="C44" s="0" t="s">
        <v>223</v>
      </c>
    </row>
    <row r="45" customFormat="false" ht="15" hidden="false" customHeight="false" outlineLevel="0" collapsed="false">
      <c r="A45" s="0" t="s">
        <v>260</v>
      </c>
      <c r="B45" s="0" t="s">
        <v>256</v>
      </c>
      <c r="C45" s="0" t="s">
        <v>219</v>
      </c>
    </row>
    <row r="46" customFormat="false" ht="15" hidden="false" customHeight="false" outlineLevel="0" collapsed="false">
      <c r="A46" s="0" t="s">
        <v>261</v>
      </c>
      <c r="B46" s="0" t="s">
        <v>256</v>
      </c>
      <c r="C46" s="0" t="s">
        <v>192</v>
      </c>
    </row>
    <row r="47" customFormat="false" ht="15" hidden="false" customHeight="false" outlineLevel="0" collapsed="false">
      <c r="A47" s="0" t="s">
        <v>262</v>
      </c>
      <c r="B47" s="0" t="s">
        <v>263</v>
      </c>
      <c r="C47" s="0" t="s">
        <v>192</v>
      </c>
    </row>
    <row r="48" customFormat="false" ht="15" hidden="false" customHeight="false" outlineLevel="0" collapsed="false">
      <c r="A48" s="0" t="s">
        <v>264</v>
      </c>
      <c r="B48" s="0" t="s">
        <v>265</v>
      </c>
      <c r="C48" s="0" t="s">
        <v>266</v>
      </c>
    </row>
    <row r="49" customFormat="false" ht="15" hidden="false" customHeight="false" outlineLevel="0" collapsed="false">
      <c r="A49" s="0" t="s">
        <v>267</v>
      </c>
      <c r="B49" s="0" t="s">
        <v>265</v>
      </c>
      <c r="C49" s="0" t="s">
        <v>268</v>
      </c>
    </row>
    <row r="50" customFormat="false" ht="15" hidden="false" customHeight="false" outlineLevel="0" collapsed="false">
      <c r="A50" s="0" t="s">
        <v>269</v>
      </c>
      <c r="B50" s="0" t="s">
        <v>265</v>
      </c>
      <c r="C50" s="0" t="s">
        <v>270</v>
      </c>
    </row>
    <row r="51" customFormat="false" ht="15" hidden="false" customHeight="false" outlineLevel="0" collapsed="false">
      <c r="A51" s="0" t="s">
        <v>271</v>
      </c>
      <c r="B51" s="0" t="s">
        <v>265</v>
      </c>
      <c r="C51" s="0" t="s">
        <v>272</v>
      </c>
    </row>
    <row r="52" customFormat="false" ht="15" hidden="false" customHeight="false" outlineLevel="0" collapsed="false">
      <c r="A52" s="0" t="s">
        <v>273</v>
      </c>
      <c r="B52" s="0" t="s">
        <v>265</v>
      </c>
      <c r="C52" s="0" t="s">
        <v>274</v>
      </c>
    </row>
    <row r="53" customFormat="false" ht="15" hidden="false" customHeight="false" outlineLevel="0" collapsed="false">
      <c r="A53" s="0" t="s">
        <v>275</v>
      </c>
      <c r="B53" s="0" t="s">
        <v>276</v>
      </c>
      <c r="C53" s="0" t="s">
        <v>266</v>
      </c>
    </row>
    <row r="54" customFormat="false" ht="15" hidden="false" customHeight="false" outlineLevel="0" collapsed="false">
      <c r="A54" s="0" t="s">
        <v>277</v>
      </c>
      <c r="B54" s="0" t="s">
        <v>276</v>
      </c>
      <c r="C54" s="0" t="s">
        <v>268</v>
      </c>
    </row>
    <row r="55" customFormat="false" ht="15" hidden="false" customHeight="false" outlineLevel="0" collapsed="false">
      <c r="A55" s="0" t="s">
        <v>278</v>
      </c>
      <c r="B55" s="0" t="s">
        <v>276</v>
      </c>
      <c r="C55" s="0" t="s">
        <v>270</v>
      </c>
    </row>
    <row r="56" customFormat="false" ht="15" hidden="false" customHeight="false" outlineLevel="0" collapsed="false">
      <c r="A56" s="0" t="s">
        <v>279</v>
      </c>
      <c r="B56" s="0" t="s">
        <v>276</v>
      </c>
      <c r="C56" s="0" t="s">
        <v>272</v>
      </c>
    </row>
    <row r="57" customFormat="false" ht="15" hidden="false" customHeight="false" outlineLevel="0" collapsed="false">
      <c r="A57" s="0" t="s">
        <v>280</v>
      </c>
      <c r="B57" s="0" t="s">
        <v>276</v>
      </c>
      <c r="C57" s="0" t="s">
        <v>274</v>
      </c>
    </row>
    <row r="58" customFormat="false" ht="15" hidden="false" customHeight="false" outlineLevel="0" collapsed="false">
      <c r="A58" s="0" t="s">
        <v>281</v>
      </c>
      <c r="B58" s="0" t="s">
        <v>282</v>
      </c>
      <c r="C58" s="0" t="s">
        <v>266</v>
      </c>
    </row>
    <row r="59" customFormat="false" ht="15" hidden="false" customHeight="false" outlineLevel="0" collapsed="false">
      <c r="A59" s="0" t="s">
        <v>283</v>
      </c>
      <c r="B59" s="0" t="s">
        <v>282</v>
      </c>
      <c r="C59" s="0" t="s">
        <v>268</v>
      </c>
    </row>
    <row r="60" customFormat="false" ht="15" hidden="false" customHeight="false" outlineLevel="0" collapsed="false">
      <c r="A60" s="0" t="s">
        <v>284</v>
      </c>
      <c r="B60" s="0" t="s">
        <v>282</v>
      </c>
      <c r="C60" s="0" t="s">
        <v>270</v>
      </c>
    </row>
    <row r="61" customFormat="false" ht="15" hidden="false" customHeight="false" outlineLevel="0" collapsed="false">
      <c r="A61" s="0" t="s">
        <v>285</v>
      </c>
      <c r="B61" s="0" t="s">
        <v>282</v>
      </c>
      <c r="C61" s="0" t="s">
        <v>272</v>
      </c>
    </row>
    <row r="62" customFormat="false" ht="15" hidden="false" customHeight="false" outlineLevel="0" collapsed="false">
      <c r="A62" s="0" t="s">
        <v>286</v>
      </c>
      <c r="B62" s="0" t="s">
        <v>282</v>
      </c>
      <c r="C62" s="0" t="s">
        <v>274</v>
      </c>
    </row>
    <row r="63" customFormat="false" ht="15" hidden="false" customHeight="false" outlineLevel="0" collapsed="false">
      <c r="A63" s="0" t="s">
        <v>287</v>
      </c>
      <c r="B63" s="0" t="s">
        <v>288</v>
      </c>
      <c r="C63" s="0" t="s">
        <v>266</v>
      </c>
    </row>
    <row r="64" customFormat="false" ht="15" hidden="false" customHeight="false" outlineLevel="0" collapsed="false">
      <c r="A64" s="0" t="s">
        <v>289</v>
      </c>
      <c r="B64" s="0" t="s">
        <v>288</v>
      </c>
      <c r="C64" s="0" t="s">
        <v>268</v>
      </c>
    </row>
    <row r="65" customFormat="false" ht="15" hidden="false" customHeight="false" outlineLevel="0" collapsed="false">
      <c r="A65" s="0" t="s">
        <v>290</v>
      </c>
      <c r="B65" s="0" t="s">
        <v>288</v>
      </c>
      <c r="C65" s="0" t="s">
        <v>270</v>
      </c>
    </row>
    <row r="66" customFormat="false" ht="15" hidden="false" customHeight="false" outlineLevel="0" collapsed="false">
      <c r="A66" s="0" t="s">
        <v>291</v>
      </c>
      <c r="B66" s="0" t="s">
        <v>288</v>
      </c>
      <c r="C66" s="0" t="s">
        <v>272</v>
      </c>
    </row>
    <row r="67" customFormat="false" ht="15" hidden="false" customHeight="false" outlineLevel="0" collapsed="false">
      <c r="A67" s="0" t="s">
        <v>292</v>
      </c>
      <c r="B67" s="0" t="s">
        <v>288</v>
      </c>
      <c r="C67" s="0" t="s">
        <v>274</v>
      </c>
    </row>
    <row r="68" customFormat="false" ht="15" hidden="false" customHeight="false" outlineLevel="0" collapsed="false">
      <c r="A68" s="0" t="s">
        <v>293</v>
      </c>
      <c r="B68" s="0" t="s">
        <v>294</v>
      </c>
      <c r="C68" s="0" t="s">
        <v>266</v>
      </c>
    </row>
    <row r="69" customFormat="false" ht="15" hidden="false" customHeight="false" outlineLevel="0" collapsed="false">
      <c r="A69" s="0" t="s">
        <v>295</v>
      </c>
      <c r="B69" s="0" t="s">
        <v>294</v>
      </c>
      <c r="C69" s="0" t="s">
        <v>268</v>
      </c>
    </row>
    <row r="70" customFormat="false" ht="15" hidden="false" customHeight="false" outlineLevel="0" collapsed="false">
      <c r="A70" s="0" t="s">
        <v>296</v>
      </c>
      <c r="B70" s="0" t="s">
        <v>294</v>
      </c>
      <c r="C70" s="0" t="s">
        <v>270</v>
      </c>
    </row>
    <row r="71" customFormat="false" ht="15" hidden="false" customHeight="false" outlineLevel="0" collapsed="false">
      <c r="A71" s="0" t="s">
        <v>297</v>
      </c>
      <c r="B71" s="0" t="s">
        <v>294</v>
      </c>
      <c r="C71" s="0" t="s">
        <v>272</v>
      </c>
    </row>
    <row r="72" customFormat="false" ht="15" hidden="false" customHeight="false" outlineLevel="0" collapsed="false">
      <c r="A72" s="0" t="s">
        <v>298</v>
      </c>
      <c r="B72" s="0" t="s">
        <v>294</v>
      </c>
      <c r="C72" s="0" t="s">
        <v>274</v>
      </c>
    </row>
    <row r="73" customFormat="false" ht="15" hidden="false" customHeight="false" outlineLevel="0" collapsed="false">
      <c r="A73" s="0" t="s">
        <v>299</v>
      </c>
      <c r="B73" s="0" t="s">
        <v>300</v>
      </c>
      <c r="C73" s="0" t="s">
        <v>192</v>
      </c>
    </row>
    <row r="74" customFormat="false" ht="15" hidden="false" customHeight="false" outlineLevel="0" collapsed="false">
      <c r="A74" s="0" t="s">
        <v>301</v>
      </c>
      <c r="B74" s="0" t="s">
        <v>302</v>
      </c>
      <c r="C74" s="0" t="s">
        <v>206</v>
      </c>
    </row>
    <row r="75" customFormat="false" ht="15" hidden="false" customHeight="false" outlineLevel="0" collapsed="false">
      <c r="A75" s="0" t="s">
        <v>303</v>
      </c>
      <c r="B75" s="0" t="s">
        <v>300</v>
      </c>
      <c r="C75" s="0" t="s">
        <v>223</v>
      </c>
    </row>
    <row r="76" customFormat="false" ht="15" hidden="false" customHeight="false" outlineLevel="0" collapsed="false">
      <c r="A76" s="0" t="s">
        <v>304</v>
      </c>
      <c r="B76" s="0" t="s">
        <v>302</v>
      </c>
      <c r="C76" s="0" t="s">
        <v>223</v>
      </c>
    </row>
    <row r="77" customFormat="false" ht="15" hidden="false" customHeight="false" outlineLevel="0" collapsed="false">
      <c r="A77" s="0" t="s">
        <v>305</v>
      </c>
      <c r="B77" s="0" t="s">
        <v>306</v>
      </c>
      <c r="C77" s="0" t="s">
        <v>223</v>
      </c>
    </row>
    <row r="78" customFormat="false" ht="15" hidden="false" customHeight="false" outlineLevel="0" collapsed="false">
      <c r="A78" s="0" t="s">
        <v>307</v>
      </c>
      <c r="B78" s="0" t="s">
        <v>300</v>
      </c>
      <c r="C78" s="0" t="s">
        <v>192</v>
      </c>
    </row>
    <row r="79" customFormat="false" ht="15" hidden="false" customHeight="false" outlineLevel="0" collapsed="false">
      <c r="A79" s="0" t="s">
        <v>308</v>
      </c>
      <c r="B79" s="0" t="s">
        <v>302</v>
      </c>
      <c r="C79" s="0" t="s">
        <v>206</v>
      </c>
    </row>
    <row r="80" customFormat="false" ht="15" hidden="false" customHeight="false" outlineLevel="0" collapsed="false">
      <c r="A80" s="0" t="s">
        <v>309</v>
      </c>
      <c r="B80" s="0" t="s">
        <v>306</v>
      </c>
      <c r="C80" s="0" t="s">
        <v>192</v>
      </c>
    </row>
    <row r="81" customFormat="false" ht="15" hidden="false" customHeight="false" outlineLevel="0" collapsed="false">
      <c r="A81" s="0" t="s">
        <v>310</v>
      </c>
      <c r="B81" s="0" t="s">
        <v>306</v>
      </c>
      <c r="C81" s="0" t="s">
        <v>192</v>
      </c>
    </row>
    <row r="82" customFormat="false" ht="15" hidden="false" customHeight="false" outlineLevel="0" collapsed="false">
      <c r="A82" s="0" t="s">
        <v>311</v>
      </c>
      <c r="B82" s="0" t="s">
        <v>312</v>
      </c>
      <c r="C82" s="0" t="s">
        <v>192</v>
      </c>
    </row>
    <row r="83" customFormat="false" ht="15" hidden="false" customHeight="false" outlineLevel="0" collapsed="false">
      <c r="A83" s="0" t="s">
        <v>313</v>
      </c>
      <c r="B83" s="0" t="s">
        <v>314</v>
      </c>
      <c r="C83" s="0" t="s">
        <v>192</v>
      </c>
    </row>
    <row r="84" customFormat="false" ht="15" hidden="false" customHeight="false" outlineLevel="0" collapsed="false">
      <c r="A84" s="0" t="s">
        <v>315</v>
      </c>
      <c r="B84" s="0" t="s">
        <v>316</v>
      </c>
      <c r="C84" s="0" t="s">
        <v>192</v>
      </c>
    </row>
    <row r="85" customFormat="false" ht="15" hidden="false" customHeight="false" outlineLevel="0" collapsed="false">
      <c r="A85" s="0" t="s">
        <v>317</v>
      </c>
      <c r="B85" s="0" t="s">
        <v>318</v>
      </c>
      <c r="C85" s="0" t="s">
        <v>192</v>
      </c>
    </row>
    <row r="86" customFormat="false" ht="15" hidden="false" customHeight="false" outlineLevel="0" collapsed="false">
      <c r="A86" s="0" t="s">
        <v>319</v>
      </c>
      <c r="B86" s="0" t="s">
        <v>318</v>
      </c>
      <c r="C86" s="0" t="s">
        <v>192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14" activeCellId="0" sqref="W14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320</v>
      </c>
      <c r="B1" s="0" t="s">
        <v>321</v>
      </c>
      <c r="C1" s="0" t="s">
        <v>322</v>
      </c>
      <c r="D1" s="0" t="s">
        <v>323</v>
      </c>
      <c r="G1" s="0" t="s">
        <v>324</v>
      </c>
      <c r="I1" s="0" t="s">
        <v>325</v>
      </c>
      <c r="J1" s="0" t="s">
        <v>326</v>
      </c>
      <c r="K1" s="0" t="s">
        <v>327</v>
      </c>
      <c r="L1" s="0" t="s">
        <v>328</v>
      </c>
      <c r="M1" s="0" t="s">
        <v>329</v>
      </c>
    </row>
    <row r="2" customFormat="false" ht="15" hidden="false" customHeight="false" outlineLevel="0" collapsed="false">
      <c r="D2" s="0" t="s">
        <v>330</v>
      </c>
      <c r="G2" s="0" t="s">
        <v>192</v>
      </c>
      <c r="I2" s="0" t="s">
        <v>224</v>
      </c>
      <c r="J2" s="0" t="n">
        <v>1</v>
      </c>
      <c r="K2" s="0" t="n">
        <v>1</v>
      </c>
      <c r="L2" s="0" t="s">
        <v>331</v>
      </c>
      <c r="M2" s="0" t="s">
        <v>332</v>
      </c>
      <c r="N2" s="0" t="s">
        <v>333</v>
      </c>
      <c r="O2" s="0" t="s">
        <v>334</v>
      </c>
      <c r="P2" s="0" t="s">
        <v>335</v>
      </c>
      <c r="Q2" s="0" t="s">
        <v>336</v>
      </c>
    </row>
    <row r="3" customFormat="false" ht="15" hidden="false" customHeight="false" outlineLevel="0" collapsed="false">
      <c r="A3" s="0" t="s">
        <v>337</v>
      </c>
      <c r="B3" s="0" t="s">
        <v>338</v>
      </c>
      <c r="D3" s="0" t="s">
        <v>339</v>
      </c>
      <c r="G3" s="0" t="s">
        <v>206</v>
      </c>
      <c r="I3" s="0" t="s">
        <v>221</v>
      </c>
      <c r="J3" s="0" t="n">
        <v>1</v>
      </c>
      <c r="K3" s="0" t="n">
        <v>1</v>
      </c>
      <c r="L3" s="0" t="s">
        <v>331</v>
      </c>
      <c r="N3" s="0" t="s">
        <v>333</v>
      </c>
      <c r="O3" s="0" t="s">
        <v>334</v>
      </c>
      <c r="P3" s="0" t="s">
        <v>335</v>
      </c>
      <c r="Q3" s="0" t="s">
        <v>336</v>
      </c>
    </row>
    <row r="4" customFormat="false" ht="15" hidden="false" customHeight="false" outlineLevel="0" collapsed="false">
      <c r="D4" s="0" t="s">
        <v>340</v>
      </c>
      <c r="G4" s="0" t="s">
        <v>219</v>
      </c>
      <c r="I4" s="0" t="s">
        <v>261</v>
      </c>
      <c r="J4" s="0" t="n">
        <v>1</v>
      </c>
      <c r="K4" s="0" t="n">
        <v>1</v>
      </c>
      <c r="L4" s="0" t="s">
        <v>331</v>
      </c>
      <c r="M4" s="0" t="s">
        <v>332</v>
      </c>
      <c r="N4" s="0" t="s">
        <v>333</v>
      </c>
      <c r="O4" s="0" t="s">
        <v>334</v>
      </c>
      <c r="P4" s="0" t="s">
        <v>335</v>
      </c>
      <c r="Q4" s="0" t="s">
        <v>336</v>
      </c>
    </row>
    <row r="5" customFormat="false" ht="15" hidden="false" customHeight="false" outlineLevel="0" collapsed="false">
      <c r="A5" s="0" t="s">
        <v>341</v>
      </c>
      <c r="D5" s="0" t="s">
        <v>342</v>
      </c>
      <c r="G5" s="0" t="s">
        <v>223</v>
      </c>
      <c r="I5" s="0" t="s">
        <v>343</v>
      </c>
      <c r="J5" s="0" t="n">
        <v>0.75</v>
      </c>
      <c r="K5" s="0" t="n">
        <v>0.75</v>
      </c>
      <c r="L5" s="0" t="s">
        <v>331</v>
      </c>
      <c r="M5" s="0" t="s">
        <v>332</v>
      </c>
      <c r="N5" s="0" t="s">
        <v>333</v>
      </c>
      <c r="O5" s="0" t="s">
        <v>334</v>
      </c>
      <c r="P5" s="0" t="s">
        <v>335</v>
      </c>
      <c r="Q5" s="0" t="s">
        <v>336</v>
      </c>
    </row>
    <row r="6" customFormat="false" ht="15" hidden="false" customHeight="false" outlineLevel="0" collapsed="false">
      <c r="A6" s="0" t="s">
        <v>344</v>
      </c>
      <c r="D6" s="0" t="s">
        <v>345</v>
      </c>
      <c r="G6" s="0" t="s">
        <v>254</v>
      </c>
      <c r="I6" s="0" t="s">
        <v>260</v>
      </c>
      <c r="J6" s="0" t="n">
        <v>0.4</v>
      </c>
      <c r="K6" s="0" t="n">
        <v>0.4</v>
      </c>
      <c r="L6" s="0" t="s">
        <v>331</v>
      </c>
      <c r="M6" s="0" t="s">
        <v>332</v>
      </c>
      <c r="N6" s="0" t="s">
        <v>333</v>
      </c>
      <c r="O6" s="0" t="s">
        <v>334</v>
      </c>
      <c r="P6" s="0" t="s">
        <v>335</v>
      </c>
      <c r="Q6" s="0" t="s">
        <v>336</v>
      </c>
    </row>
    <row r="7" customFormat="false" ht="15" hidden="false" customHeight="false" outlineLevel="0" collapsed="false">
      <c r="A7" s="0" t="s">
        <v>346</v>
      </c>
      <c r="G7" s="0" t="s">
        <v>268</v>
      </c>
      <c r="I7" s="0" t="s">
        <v>259</v>
      </c>
      <c r="J7" s="0" t="n">
        <v>1</v>
      </c>
      <c r="K7" s="0" t="n">
        <v>1</v>
      </c>
      <c r="L7" s="0" t="s">
        <v>331</v>
      </c>
      <c r="N7" s="0" t="s">
        <v>333</v>
      </c>
      <c r="O7" s="0" t="s">
        <v>334</v>
      </c>
      <c r="P7" s="0" t="s">
        <v>335</v>
      </c>
      <c r="Q7" s="0" t="s">
        <v>336</v>
      </c>
    </row>
    <row r="8" customFormat="false" ht="15" hidden="false" customHeight="false" outlineLevel="0" collapsed="false">
      <c r="A8" s="0" t="s">
        <v>347</v>
      </c>
      <c r="D8" s="0" t="s">
        <v>348</v>
      </c>
      <c r="G8" s="0" t="s">
        <v>266</v>
      </c>
      <c r="I8" s="0" t="s">
        <v>349</v>
      </c>
      <c r="J8" s="0" t="n">
        <v>1</v>
      </c>
      <c r="K8" s="0" t="n">
        <v>1</v>
      </c>
      <c r="L8" s="0" t="s">
        <v>331</v>
      </c>
      <c r="M8" s="0" t="s">
        <v>332</v>
      </c>
      <c r="N8" s="0" t="s">
        <v>333</v>
      </c>
      <c r="O8" s="0" t="s">
        <v>334</v>
      </c>
      <c r="P8" s="0" t="s">
        <v>335</v>
      </c>
    </row>
    <row r="9" customFormat="false" ht="15" hidden="false" customHeight="false" outlineLevel="0" collapsed="false">
      <c r="A9" s="0" t="s">
        <v>350</v>
      </c>
      <c r="D9" s="0" t="s">
        <v>351</v>
      </c>
      <c r="G9" s="0" t="s">
        <v>272</v>
      </c>
      <c r="I9" s="0" t="s">
        <v>352</v>
      </c>
      <c r="J9" s="0" t="n">
        <v>1</v>
      </c>
      <c r="K9" s="0" t="n">
        <v>1</v>
      </c>
      <c r="L9" s="0" t="s">
        <v>331</v>
      </c>
      <c r="M9" s="0" t="s">
        <v>332</v>
      </c>
      <c r="N9" s="0" t="s">
        <v>333</v>
      </c>
      <c r="O9" s="0" t="s">
        <v>334</v>
      </c>
      <c r="P9" s="0" t="s">
        <v>335</v>
      </c>
      <c r="Q9" s="0" t="s">
        <v>336</v>
      </c>
    </row>
    <row r="10" customFormat="false" ht="15" hidden="false" customHeight="false" outlineLevel="0" collapsed="false">
      <c r="A10" s="0" t="s">
        <v>353</v>
      </c>
      <c r="D10" s="0" t="s">
        <v>354</v>
      </c>
      <c r="G10" s="0" t="s">
        <v>274</v>
      </c>
      <c r="I10" s="0" t="s">
        <v>355</v>
      </c>
      <c r="J10" s="0" t="n">
        <v>0.75</v>
      </c>
      <c r="K10" s="0" t="n">
        <v>0.75</v>
      </c>
      <c r="L10" s="0" t="s">
        <v>331</v>
      </c>
      <c r="M10" s="0" t="s">
        <v>332</v>
      </c>
      <c r="N10" s="0" t="s">
        <v>333</v>
      </c>
      <c r="O10" s="0" t="s">
        <v>334</v>
      </c>
      <c r="P10" s="0" t="s">
        <v>335</v>
      </c>
      <c r="Q10" s="0" t="s">
        <v>336</v>
      </c>
    </row>
    <row r="11" customFormat="false" ht="15" hidden="false" customHeight="false" outlineLevel="0" collapsed="false">
      <c r="A11" s="0" t="s">
        <v>356</v>
      </c>
      <c r="D11" s="0" t="s">
        <v>357</v>
      </c>
      <c r="G11" s="0" t="s">
        <v>270</v>
      </c>
      <c r="I11" s="0" t="s">
        <v>358</v>
      </c>
      <c r="J11" s="0" t="n">
        <v>1</v>
      </c>
      <c r="K11" s="0" t="n">
        <v>1</v>
      </c>
      <c r="L11" s="0" t="s">
        <v>331</v>
      </c>
      <c r="M11" s="0" t="s">
        <v>332</v>
      </c>
      <c r="N11" s="0" t="s">
        <v>333</v>
      </c>
      <c r="O11" s="0" t="s">
        <v>334</v>
      </c>
      <c r="P11" s="0" t="s">
        <v>335</v>
      </c>
      <c r="Q11" s="0" t="s">
        <v>336</v>
      </c>
    </row>
    <row r="12" customFormat="false" ht="15" hidden="false" customHeight="false" outlineLevel="0" collapsed="false">
      <c r="A12" s="0" t="s">
        <v>359</v>
      </c>
      <c r="G12" s="0" t="s">
        <v>360</v>
      </c>
      <c r="I12" s="0" t="s">
        <v>361</v>
      </c>
      <c r="J12" s="0" t="n">
        <v>1</v>
      </c>
      <c r="K12" s="0" t="n">
        <v>1</v>
      </c>
      <c r="L12" s="0" t="s">
        <v>331</v>
      </c>
      <c r="N12" s="0" t="s">
        <v>333</v>
      </c>
      <c r="O12" s="0" t="s">
        <v>334</v>
      </c>
      <c r="P12" s="0" t="s">
        <v>335</v>
      </c>
      <c r="Q12" s="0" t="s">
        <v>336</v>
      </c>
    </row>
    <row r="13" customFormat="false" ht="15" hidden="false" customHeight="false" outlineLevel="0" collapsed="false">
      <c r="A13" s="0" t="s">
        <v>362</v>
      </c>
      <c r="D13" s="0" t="s">
        <v>133</v>
      </c>
      <c r="E13" s="0" t="s">
        <v>134</v>
      </c>
      <c r="G13" s="0" t="s">
        <v>252</v>
      </c>
      <c r="I13" s="0" t="s">
        <v>363</v>
      </c>
      <c r="J13" s="0" t="n">
        <v>1</v>
      </c>
      <c r="K13" s="0" t="n">
        <v>1</v>
      </c>
      <c r="L13" s="0" t="s">
        <v>331</v>
      </c>
      <c r="M13" s="0" t="s">
        <v>332</v>
      </c>
      <c r="N13" s="0" t="s">
        <v>333</v>
      </c>
      <c r="O13" s="0" t="s">
        <v>334</v>
      </c>
      <c r="P13" s="0" t="s">
        <v>335</v>
      </c>
      <c r="Q13" s="0" t="s">
        <v>336</v>
      </c>
    </row>
    <row r="14" customFormat="false" ht="15" hidden="false" customHeight="false" outlineLevel="0" collapsed="false">
      <c r="A14" s="0" t="s">
        <v>364</v>
      </c>
      <c r="D14" s="0" t="s">
        <v>57</v>
      </c>
      <c r="E14" s="0" t="n">
        <v>0</v>
      </c>
      <c r="I14" s="0" t="s">
        <v>365</v>
      </c>
      <c r="J14" s="0" t="n">
        <v>1</v>
      </c>
      <c r="K14" s="0" t="n">
        <v>1</v>
      </c>
      <c r="L14" s="0" t="s">
        <v>331</v>
      </c>
      <c r="N14" s="0" t="s">
        <v>333</v>
      </c>
      <c r="O14" s="0" t="s">
        <v>334</v>
      </c>
      <c r="P14" s="0" t="s">
        <v>335</v>
      </c>
      <c r="Q14" s="0" t="s">
        <v>336</v>
      </c>
    </row>
    <row r="15" customFormat="false" ht="15" hidden="false" customHeight="false" outlineLevel="0" collapsed="false">
      <c r="A15" s="0" t="s">
        <v>366</v>
      </c>
      <c r="D15" s="0" t="s">
        <v>135</v>
      </c>
      <c r="E15" s="186" t="n">
        <v>0.2</v>
      </c>
      <c r="I15" s="0" t="s">
        <v>367</v>
      </c>
      <c r="J15" s="0" t="n">
        <v>0.5</v>
      </c>
      <c r="K15" s="0" t="n">
        <v>0.5</v>
      </c>
      <c r="L15" s="0" t="s">
        <v>331</v>
      </c>
      <c r="M15" s="0" t="s">
        <v>332</v>
      </c>
      <c r="N15" s="0" t="s">
        <v>333</v>
      </c>
      <c r="O15" s="0" t="s">
        <v>334</v>
      </c>
      <c r="P15" s="0" t="s">
        <v>335</v>
      </c>
      <c r="Q15" s="0" t="s">
        <v>336</v>
      </c>
    </row>
    <row r="16" customFormat="false" ht="15" hidden="false" customHeight="false" outlineLevel="0" collapsed="false">
      <c r="A16" s="0" t="s">
        <v>368</v>
      </c>
      <c r="D16" s="0" t="s">
        <v>136</v>
      </c>
      <c r="E16" s="186" t="n">
        <v>0.5</v>
      </c>
      <c r="G16" s="0" t="s">
        <v>369</v>
      </c>
      <c r="I16" s="0" t="s">
        <v>370</v>
      </c>
      <c r="J16" s="0" t="n">
        <v>1</v>
      </c>
      <c r="K16" s="0" t="n">
        <v>1</v>
      </c>
      <c r="L16" s="0" t="s">
        <v>331</v>
      </c>
      <c r="N16" s="0" t="s">
        <v>333</v>
      </c>
      <c r="O16" s="0" t="s">
        <v>334</v>
      </c>
      <c r="P16" s="0" t="s">
        <v>335</v>
      </c>
      <c r="Q16" s="0" t="s">
        <v>336</v>
      </c>
    </row>
    <row r="17" customFormat="false" ht="15" hidden="false" customHeight="false" outlineLevel="0" collapsed="false">
      <c r="A17" s="0" t="s">
        <v>371</v>
      </c>
      <c r="D17" s="0" t="s">
        <v>137</v>
      </c>
      <c r="E17" s="186" t="n">
        <v>0.7</v>
      </c>
      <c r="G17" s="0" t="s">
        <v>222</v>
      </c>
      <c r="I17" s="0" t="s">
        <v>372</v>
      </c>
      <c r="J17" s="0" t="n">
        <v>0.3</v>
      </c>
      <c r="K17" s="0" t="n">
        <v>0.3</v>
      </c>
      <c r="L17" s="0" t="s">
        <v>331</v>
      </c>
      <c r="O17" s="0" t="s">
        <v>334</v>
      </c>
      <c r="P17" s="0" t="s">
        <v>335</v>
      </c>
      <c r="Q17" s="0" t="s">
        <v>336</v>
      </c>
    </row>
    <row r="18" customFormat="false" ht="15" hidden="false" customHeight="false" outlineLevel="0" collapsed="false">
      <c r="A18" s="0" t="s">
        <v>373</v>
      </c>
      <c r="G18" s="0" t="s">
        <v>256</v>
      </c>
      <c r="I18" s="0" t="s">
        <v>374</v>
      </c>
      <c r="J18" s="0" t="n">
        <v>0.3</v>
      </c>
      <c r="K18" s="0" t="n">
        <v>0.3</v>
      </c>
      <c r="L18" s="0" t="s">
        <v>331</v>
      </c>
      <c r="O18" s="0" t="s">
        <v>334</v>
      </c>
      <c r="P18" s="0" t="s">
        <v>335</v>
      </c>
      <c r="Q18" s="0" t="s">
        <v>336</v>
      </c>
    </row>
    <row r="19" customFormat="false" ht="15" hidden="false" customHeight="false" outlineLevel="0" collapsed="false">
      <c r="A19" s="0" t="s">
        <v>375</v>
      </c>
      <c r="D19" s="0" t="s">
        <v>376</v>
      </c>
      <c r="E19" s="0" t="s">
        <v>4</v>
      </c>
      <c r="G19" s="0" t="s">
        <v>263</v>
      </c>
      <c r="I19" s="0" t="s">
        <v>377</v>
      </c>
      <c r="J19" s="0" t="n">
        <v>0.3</v>
      </c>
      <c r="K19" s="0" t="n">
        <v>0.3</v>
      </c>
      <c r="L19" s="0" t="s">
        <v>331</v>
      </c>
      <c r="O19" s="0" t="s">
        <v>334</v>
      </c>
      <c r="P19" s="0" t="s">
        <v>335</v>
      </c>
      <c r="Q19" s="0" t="s">
        <v>336</v>
      </c>
    </row>
    <row r="20" customFormat="false" ht="15" hidden="false" customHeight="false" outlineLevel="0" collapsed="false">
      <c r="A20" s="0" t="s">
        <v>378</v>
      </c>
      <c r="D20" s="0" t="s">
        <v>379</v>
      </c>
      <c r="E20" s="187" t="n">
        <v>42905</v>
      </c>
      <c r="G20" s="0" t="s">
        <v>245</v>
      </c>
      <c r="I20" s="0" t="s">
        <v>380</v>
      </c>
      <c r="J20" s="0" t="n">
        <v>0.6</v>
      </c>
      <c r="K20" s="0" t="n">
        <v>0.6</v>
      </c>
      <c r="L20" s="0" t="s">
        <v>381</v>
      </c>
      <c r="O20" s="0" t="s">
        <v>334</v>
      </c>
      <c r="P20" s="0" t="s">
        <v>335</v>
      </c>
      <c r="Q20" s="0" t="s">
        <v>336</v>
      </c>
    </row>
    <row r="21" customFormat="false" ht="15" hidden="false" customHeight="false" outlineLevel="0" collapsed="false">
      <c r="A21" s="0" t="s">
        <v>382</v>
      </c>
      <c r="D21" s="0" t="s">
        <v>383</v>
      </c>
      <c r="E21" s="187" t="n">
        <v>42668</v>
      </c>
      <c r="G21" s="0" t="s">
        <v>306</v>
      </c>
      <c r="I21" s="0" t="s">
        <v>384</v>
      </c>
      <c r="J21" s="0" t="n">
        <v>0.6</v>
      </c>
      <c r="K21" s="0" t="n">
        <v>0.6</v>
      </c>
      <c r="L21" s="0" t="s">
        <v>381</v>
      </c>
      <c r="O21" s="0" t="s">
        <v>334</v>
      </c>
      <c r="P21" s="0" t="s">
        <v>335</v>
      </c>
      <c r="Q21" s="0" t="s">
        <v>336</v>
      </c>
    </row>
    <row r="22" customFormat="false" ht="15" hidden="false" customHeight="false" outlineLevel="0" collapsed="false">
      <c r="A22" s="0" t="s">
        <v>385</v>
      </c>
      <c r="D22" s="0" t="s">
        <v>386</v>
      </c>
      <c r="E22" s="187" t="n">
        <v>42415</v>
      </c>
      <c r="G22" s="0" t="s">
        <v>300</v>
      </c>
      <c r="I22" s="0" t="s">
        <v>387</v>
      </c>
      <c r="J22" s="0" t="n">
        <v>0.75</v>
      </c>
      <c r="K22" s="0" t="n">
        <v>0.75</v>
      </c>
      <c r="L22" s="0" t="s">
        <v>331</v>
      </c>
      <c r="M22" s="0" t="s">
        <v>332</v>
      </c>
      <c r="N22" s="0" t="s">
        <v>333</v>
      </c>
      <c r="O22" s="0" t="s">
        <v>334</v>
      </c>
      <c r="P22" s="0" t="s">
        <v>335</v>
      </c>
      <c r="Q22" s="0" t="s">
        <v>336</v>
      </c>
    </row>
    <row r="23" customFormat="false" ht="15" hidden="false" customHeight="false" outlineLevel="0" collapsed="false">
      <c r="A23" s="0" t="s">
        <v>388</v>
      </c>
      <c r="G23" s="0" t="s">
        <v>389</v>
      </c>
      <c r="I23" s="0" t="s">
        <v>390</v>
      </c>
      <c r="J23" s="0" t="n">
        <v>1</v>
      </c>
      <c r="K23" s="0" t="n">
        <v>1</v>
      </c>
      <c r="L23" s="0" t="s">
        <v>331</v>
      </c>
      <c r="O23" s="0" t="s">
        <v>334</v>
      </c>
    </row>
    <row r="24" customFormat="false" ht="15" hidden="false" customHeight="false" outlineLevel="0" collapsed="false">
      <c r="A24" s="0" t="s">
        <v>391</v>
      </c>
      <c r="D24" s="0" t="s">
        <v>5</v>
      </c>
      <c r="G24" s="0" t="s">
        <v>210</v>
      </c>
      <c r="I24" s="0" t="s">
        <v>392</v>
      </c>
      <c r="J24" s="0" t="n">
        <v>1</v>
      </c>
      <c r="K24" s="0" t="n">
        <v>1</v>
      </c>
      <c r="L24" s="0" t="s">
        <v>331</v>
      </c>
      <c r="P24" s="0" t="s">
        <v>335</v>
      </c>
      <c r="Q24" s="0" t="s">
        <v>336</v>
      </c>
    </row>
    <row r="25" customFormat="false" ht="15" hidden="false" customHeight="false" outlineLevel="0" collapsed="false">
      <c r="A25" s="0" t="s">
        <v>393</v>
      </c>
      <c r="D25" s="0" t="s">
        <v>394</v>
      </c>
      <c r="G25" s="0" t="s">
        <v>208</v>
      </c>
      <c r="I25" s="0" t="s">
        <v>395</v>
      </c>
      <c r="J25" s="0" t="n">
        <v>0.6</v>
      </c>
      <c r="K25" s="0" t="n">
        <v>0.6</v>
      </c>
      <c r="L25" s="0" t="s">
        <v>331</v>
      </c>
      <c r="O25" s="0" t="s">
        <v>334</v>
      </c>
    </row>
    <row r="26" customFormat="false" ht="15" hidden="false" customHeight="false" outlineLevel="0" collapsed="false">
      <c r="A26" s="0" t="s">
        <v>396</v>
      </c>
      <c r="G26" s="0" t="s">
        <v>205</v>
      </c>
      <c r="I26" s="0" t="s">
        <v>397</v>
      </c>
      <c r="J26" s="0" t="n">
        <v>1</v>
      </c>
      <c r="K26" s="0" t="n">
        <v>1</v>
      </c>
      <c r="L26" s="0" t="s">
        <v>331</v>
      </c>
      <c r="P26" s="0" t="s">
        <v>335</v>
      </c>
      <c r="Q26" s="0" t="s">
        <v>336</v>
      </c>
    </row>
    <row r="27" customFormat="false" ht="15" hidden="false" customHeight="false" outlineLevel="0" collapsed="false">
      <c r="A27" s="0" t="s">
        <v>398</v>
      </c>
      <c r="D27" s="0" t="s">
        <v>399</v>
      </c>
      <c r="G27" s="0" t="s">
        <v>250</v>
      </c>
      <c r="I27" s="0" t="s">
        <v>400</v>
      </c>
      <c r="J27" s="0" t="n">
        <v>0.1</v>
      </c>
      <c r="K27" s="0" t="n">
        <v>0.1</v>
      </c>
      <c r="L27" s="0" t="s">
        <v>331</v>
      </c>
      <c r="O27" s="0" t="s">
        <v>334</v>
      </c>
      <c r="P27" s="0" t="s">
        <v>335</v>
      </c>
      <c r="Q27" s="0" t="s">
        <v>336</v>
      </c>
    </row>
    <row r="28" customFormat="false" ht="15" hidden="false" customHeight="false" outlineLevel="0" collapsed="false">
      <c r="A28" s="0" t="s">
        <v>401</v>
      </c>
      <c r="D28" s="0" t="s">
        <v>402</v>
      </c>
      <c r="G28" s="0" t="s">
        <v>241</v>
      </c>
      <c r="I28" s="0" t="s">
        <v>403</v>
      </c>
      <c r="J28" s="0" t="n">
        <v>0.1</v>
      </c>
      <c r="K28" s="0" t="n">
        <v>0.1</v>
      </c>
      <c r="L28" s="0" t="s">
        <v>331</v>
      </c>
    </row>
    <row r="29" customFormat="false" ht="15" hidden="false" customHeight="false" outlineLevel="0" collapsed="false">
      <c r="A29" s="0" t="s">
        <v>404</v>
      </c>
      <c r="D29" s="0" t="s">
        <v>405</v>
      </c>
      <c r="G29" s="0" t="s">
        <v>194</v>
      </c>
      <c r="I29" s="0" t="s">
        <v>406</v>
      </c>
      <c r="J29" s="0" t="n">
        <v>0.1</v>
      </c>
      <c r="K29" s="0" t="n">
        <v>0.1</v>
      </c>
      <c r="L29" s="0" t="s">
        <v>331</v>
      </c>
      <c r="O29" s="0" t="s">
        <v>334</v>
      </c>
    </row>
    <row r="30" customFormat="false" ht="15" hidden="false" customHeight="false" outlineLevel="0" collapsed="false">
      <c r="A30" s="0" t="s">
        <v>407</v>
      </c>
      <c r="D30" s="0" t="s">
        <v>408</v>
      </c>
      <c r="G30" s="0" t="s">
        <v>196</v>
      </c>
      <c r="I30" s="0" t="s">
        <v>409</v>
      </c>
      <c r="J30" s="0" t="n">
        <v>0.6</v>
      </c>
      <c r="K30" s="0" t="n">
        <v>0.6</v>
      </c>
      <c r="L30" s="0" t="s">
        <v>381</v>
      </c>
      <c r="Q30" s="0" t="s">
        <v>336</v>
      </c>
    </row>
    <row r="31" customFormat="false" ht="15" hidden="false" customHeight="false" outlineLevel="0" collapsed="false">
      <c r="A31" s="0" t="s">
        <v>410</v>
      </c>
      <c r="D31" s="0" t="s">
        <v>411</v>
      </c>
      <c r="G31" s="0" t="s">
        <v>191</v>
      </c>
      <c r="I31" s="0" t="s">
        <v>412</v>
      </c>
      <c r="J31" s="0" t="n">
        <v>0.6</v>
      </c>
      <c r="K31" s="0" t="n">
        <v>0.6</v>
      </c>
      <c r="L31" s="0" t="s">
        <v>381</v>
      </c>
      <c r="Q31" s="0" t="s">
        <v>336</v>
      </c>
    </row>
    <row r="32" customFormat="false" ht="15" hidden="false" customHeight="false" outlineLevel="0" collapsed="false">
      <c r="A32" s="0" t="s">
        <v>413</v>
      </c>
      <c r="G32" s="0" t="s">
        <v>199</v>
      </c>
      <c r="I32" s="0" t="s">
        <v>414</v>
      </c>
      <c r="J32" s="0" t="n">
        <v>0.25</v>
      </c>
      <c r="K32" s="0" t="n">
        <v>0.25</v>
      </c>
      <c r="L32" s="0" t="s">
        <v>331</v>
      </c>
      <c r="M32" s="0" t="s">
        <v>332</v>
      </c>
      <c r="N32" s="0" t="s">
        <v>333</v>
      </c>
      <c r="O32" s="0" t="s">
        <v>334</v>
      </c>
      <c r="P32" s="0" t="s">
        <v>335</v>
      </c>
      <c r="Q32" s="0" t="s">
        <v>336</v>
      </c>
    </row>
    <row r="33" customFormat="false" ht="15" hidden="false" customHeight="false" outlineLevel="0" collapsed="false">
      <c r="A33" s="0" t="s">
        <v>415</v>
      </c>
      <c r="D33" s="0" t="s">
        <v>399</v>
      </c>
      <c r="G33" s="0" t="s">
        <v>201</v>
      </c>
      <c r="I33" s="0" t="s">
        <v>416</v>
      </c>
      <c r="J33" s="0" t="n">
        <v>0.25</v>
      </c>
      <c r="K33" s="0" t="n">
        <v>0.25</v>
      </c>
      <c r="L33" s="0" t="s">
        <v>331</v>
      </c>
      <c r="M33" s="0" t="s">
        <v>332</v>
      </c>
      <c r="N33" s="0" t="s">
        <v>333</v>
      </c>
      <c r="O33" s="0" t="s">
        <v>334</v>
      </c>
      <c r="P33" s="0" t="s">
        <v>335</v>
      </c>
      <c r="Q33" s="0" t="s">
        <v>336</v>
      </c>
    </row>
    <row r="34" customFormat="false" ht="15" hidden="false" customHeight="false" outlineLevel="0" collapsed="false">
      <c r="A34" s="0" t="s">
        <v>417</v>
      </c>
      <c r="D34" s="0" t="s">
        <v>222</v>
      </c>
      <c r="G34" s="0" t="s">
        <v>203</v>
      </c>
      <c r="I34" s="0" t="s">
        <v>418</v>
      </c>
      <c r="J34" s="0" t="n">
        <v>0.2</v>
      </c>
      <c r="K34" s="0" t="n">
        <v>0.2</v>
      </c>
      <c r="L34" s="0" t="s">
        <v>331</v>
      </c>
      <c r="M34" s="0" t="s">
        <v>332</v>
      </c>
      <c r="N34" s="0" t="s">
        <v>333</v>
      </c>
      <c r="O34" s="0" t="s">
        <v>334</v>
      </c>
      <c r="P34" s="0" t="s">
        <v>335</v>
      </c>
      <c r="Q34" s="0" t="s">
        <v>336</v>
      </c>
    </row>
    <row r="35" customFormat="false" ht="15" hidden="false" customHeight="false" outlineLevel="0" collapsed="false">
      <c r="A35" s="0" t="s">
        <v>419</v>
      </c>
      <c r="D35" s="0" t="s">
        <v>420</v>
      </c>
      <c r="G35" s="0" t="s">
        <v>312</v>
      </c>
      <c r="I35" s="0" t="s">
        <v>421</v>
      </c>
      <c r="J35" s="0" t="n">
        <v>0.2</v>
      </c>
      <c r="K35" s="0" t="n">
        <v>0.2</v>
      </c>
      <c r="L35" s="0" t="s">
        <v>331</v>
      </c>
      <c r="M35" s="0" t="s">
        <v>332</v>
      </c>
      <c r="N35" s="0" t="s">
        <v>333</v>
      </c>
      <c r="O35" s="0" t="s">
        <v>334</v>
      </c>
      <c r="P35" s="0" t="s">
        <v>335</v>
      </c>
      <c r="Q35" s="0" t="s">
        <v>336</v>
      </c>
    </row>
    <row r="36" customFormat="false" ht="15" hidden="false" customHeight="false" outlineLevel="0" collapsed="false">
      <c r="A36" s="0" t="s">
        <v>422</v>
      </c>
      <c r="D36" s="0" t="s">
        <v>423</v>
      </c>
      <c r="G36" s="0" t="s">
        <v>226</v>
      </c>
      <c r="I36" s="0" t="s">
        <v>424</v>
      </c>
      <c r="J36" s="0" t="n">
        <v>0.25</v>
      </c>
      <c r="K36" s="0" t="n">
        <v>0.25</v>
      </c>
      <c r="L36" s="0" t="s">
        <v>331</v>
      </c>
      <c r="O36" s="0" t="s">
        <v>334</v>
      </c>
      <c r="P36" s="0" t="s">
        <v>335</v>
      </c>
      <c r="Q36" s="0" t="s">
        <v>336</v>
      </c>
    </row>
    <row r="37" customFormat="false" ht="15" hidden="false" customHeight="false" outlineLevel="0" collapsed="false">
      <c r="A37" s="0" t="s">
        <v>425</v>
      </c>
      <c r="D37" s="0" t="s">
        <v>245</v>
      </c>
      <c r="G37" s="0" t="s">
        <v>318</v>
      </c>
      <c r="I37" s="0" t="s">
        <v>426</v>
      </c>
      <c r="J37" s="0" t="n">
        <v>0.25</v>
      </c>
      <c r="K37" s="0" t="n">
        <v>0.25</v>
      </c>
      <c r="L37" s="0" t="s">
        <v>331</v>
      </c>
      <c r="O37" s="0" t="s">
        <v>334</v>
      </c>
      <c r="P37" s="0" t="s">
        <v>335</v>
      </c>
      <c r="Q37" s="0" t="s">
        <v>336</v>
      </c>
    </row>
    <row r="38" customFormat="false" ht="15" hidden="false" customHeight="false" outlineLevel="0" collapsed="false">
      <c r="A38" s="0" t="s">
        <v>427</v>
      </c>
      <c r="D38" s="0" t="s">
        <v>428</v>
      </c>
      <c r="G38" s="0" t="s">
        <v>316</v>
      </c>
      <c r="I38" s="0" t="s">
        <v>429</v>
      </c>
      <c r="J38" s="0" t="n">
        <v>0.15</v>
      </c>
      <c r="K38" s="0" t="n">
        <v>0.15</v>
      </c>
      <c r="L38" s="0" t="s">
        <v>331</v>
      </c>
      <c r="O38" s="0" t="s">
        <v>334</v>
      </c>
      <c r="P38" s="0" t="s">
        <v>335</v>
      </c>
      <c r="Q38" s="0" t="s">
        <v>336</v>
      </c>
    </row>
    <row r="39" customFormat="false" ht="15" hidden="false" customHeight="false" outlineLevel="0" collapsed="false">
      <c r="A39" s="0" t="s">
        <v>430</v>
      </c>
      <c r="G39" s="0" t="s">
        <v>314</v>
      </c>
      <c r="I39" s="0" t="s">
        <v>431</v>
      </c>
      <c r="J39" s="0" t="n">
        <v>1</v>
      </c>
      <c r="K39" s="0" t="n">
        <v>1</v>
      </c>
      <c r="L39" s="0" t="s">
        <v>331</v>
      </c>
      <c r="O39" s="0" t="s">
        <v>334</v>
      </c>
      <c r="P39" s="0" t="s">
        <v>335</v>
      </c>
      <c r="Q39" s="0" t="s">
        <v>336</v>
      </c>
    </row>
    <row r="40" customFormat="false" ht="15" hidden="false" customHeight="false" outlineLevel="0" collapsed="false">
      <c r="A40" s="0" t="s">
        <v>432</v>
      </c>
      <c r="D40" s="0" t="s">
        <v>56</v>
      </c>
      <c r="G40" s="0" t="s">
        <v>214</v>
      </c>
      <c r="I40" s="0" t="s">
        <v>433</v>
      </c>
      <c r="J40" s="0" t="n">
        <v>1</v>
      </c>
      <c r="K40" s="0" t="n">
        <v>1</v>
      </c>
      <c r="L40" s="0" t="s">
        <v>331</v>
      </c>
      <c r="O40" s="0" t="s">
        <v>334</v>
      </c>
      <c r="P40" s="0" t="s">
        <v>335</v>
      </c>
      <c r="Q40" s="0" t="s">
        <v>336</v>
      </c>
    </row>
    <row r="41" customFormat="false" ht="15" hidden="false" customHeight="false" outlineLevel="0" collapsed="false">
      <c r="A41" s="0" t="s">
        <v>434</v>
      </c>
      <c r="D41" s="0" t="s">
        <v>57</v>
      </c>
      <c r="G41" s="0" t="s">
        <v>276</v>
      </c>
      <c r="I41" s="0" t="s">
        <v>277</v>
      </c>
      <c r="J41" s="0" t="n">
        <v>0.1875</v>
      </c>
      <c r="K41" s="0" t="n">
        <v>0.1875</v>
      </c>
      <c r="L41" s="0" t="s">
        <v>331</v>
      </c>
      <c r="M41" s="0" t="s">
        <v>332</v>
      </c>
      <c r="N41" s="0" t="s">
        <v>333</v>
      </c>
      <c r="O41" s="0" t="s">
        <v>334</v>
      </c>
      <c r="P41" s="0" t="s">
        <v>335</v>
      </c>
      <c r="Q41" s="0" t="s">
        <v>336</v>
      </c>
    </row>
    <row r="42" customFormat="false" ht="15" hidden="false" customHeight="false" outlineLevel="0" collapsed="false">
      <c r="A42" s="0" t="s">
        <v>435</v>
      </c>
      <c r="G42" s="0" t="s">
        <v>265</v>
      </c>
      <c r="I42" s="0" t="s">
        <v>275</v>
      </c>
      <c r="J42" s="0" t="n">
        <v>0.2625</v>
      </c>
      <c r="K42" s="0" t="n">
        <v>0.2625</v>
      </c>
      <c r="L42" s="0" t="s">
        <v>331</v>
      </c>
      <c r="M42" s="0" t="s">
        <v>332</v>
      </c>
      <c r="N42" s="0" t="s">
        <v>333</v>
      </c>
      <c r="O42" s="0" t="s">
        <v>334</v>
      </c>
      <c r="P42" s="0" t="s">
        <v>335</v>
      </c>
      <c r="Q42" s="0" t="s">
        <v>336</v>
      </c>
    </row>
    <row r="43" customFormat="false" ht="15" hidden="false" customHeight="false" outlineLevel="0" collapsed="false">
      <c r="A43" s="0" t="s">
        <v>436</v>
      </c>
      <c r="G43" s="0" t="s">
        <v>294</v>
      </c>
      <c r="I43" s="0" t="s">
        <v>279</v>
      </c>
      <c r="J43" s="0" t="n">
        <v>0.5625</v>
      </c>
      <c r="K43" s="0" t="n">
        <v>0.5625</v>
      </c>
      <c r="L43" s="0" t="s">
        <v>331</v>
      </c>
      <c r="M43" s="0" t="s">
        <v>332</v>
      </c>
      <c r="N43" s="0" t="s">
        <v>333</v>
      </c>
      <c r="O43" s="0" t="s">
        <v>334</v>
      </c>
      <c r="P43" s="0" t="s">
        <v>335</v>
      </c>
      <c r="Q43" s="0" t="s">
        <v>336</v>
      </c>
    </row>
    <row r="44" customFormat="false" ht="15" hidden="false" customHeight="false" outlineLevel="0" collapsed="false">
      <c r="A44" s="0" t="s">
        <v>437</v>
      </c>
      <c r="G44" s="0" t="s">
        <v>282</v>
      </c>
      <c r="I44" s="0" t="s">
        <v>280</v>
      </c>
      <c r="J44" s="0" t="n">
        <v>0.675</v>
      </c>
      <c r="K44" s="0" t="n">
        <v>0.675</v>
      </c>
      <c r="L44" s="0" t="s">
        <v>331</v>
      </c>
      <c r="M44" s="0" t="s">
        <v>332</v>
      </c>
      <c r="N44" s="0" t="s">
        <v>333</v>
      </c>
      <c r="O44" s="0" t="s">
        <v>334</v>
      </c>
      <c r="P44" s="0" t="s">
        <v>335</v>
      </c>
      <c r="Q44" s="0" t="s">
        <v>336</v>
      </c>
    </row>
    <row r="45" customFormat="false" ht="15" hidden="false" customHeight="false" outlineLevel="0" collapsed="false">
      <c r="A45" s="0" t="s">
        <v>438</v>
      </c>
      <c r="G45" s="0" t="s">
        <v>288</v>
      </c>
      <c r="I45" s="0" t="s">
        <v>278</v>
      </c>
      <c r="J45" s="0" t="n">
        <v>0.7125</v>
      </c>
      <c r="K45" s="0" t="n">
        <v>0.7125</v>
      </c>
      <c r="L45" s="0" t="s">
        <v>331</v>
      </c>
      <c r="M45" s="0" t="s">
        <v>332</v>
      </c>
      <c r="N45" s="0" t="s">
        <v>333</v>
      </c>
      <c r="O45" s="0" t="s">
        <v>334</v>
      </c>
      <c r="P45" s="0" t="s">
        <v>335</v>
      </c>
      <c r="Q45" s="0" t="s">
        <v>336</v>
      </c>
    </row>
    <row r="46" customFormat="false" ht="15" hidden="false" customHeight="false" outlineLevel="0" collapsed="false">
      <c r="A46" s="0" t="s">
        <v>439</v>
      </c>
      <c r="G46" s="0" t="s">
        <v>233</v>
      </c>
      <c r="I46" s="0" t="s">
        <v>440</v>
      </c>
      <c r="J46" s="0" t="n">
        <v>1</v>
      </c>
      <c r="K46" s="0" t="n">
        <v>1</v>
      </c>
      <c r="L46" s="0" t="s">
        <v>331</v>
      </c>
      <c r="O46" s="0" t="s">
        <v>334</v>
      </c>
    </row>
    <row r="47" customFormat="false" ht="15" hidden="false" customHeight="false" outlineLevel="0" collapsed="false">
      <c r="A47" s="0" t="s">
        <v>441</v>
      </c>
      <c r="G47" s="0" t="s">
        <v>231</v>
      </c>
      <c r="I47" s="0" t="s">
        <v>267</v>
      </c>
      <c r="J47" s="0" t="n">
        <v>0.15</v>
      </c>
      <c r="K47" s="0" t="n">
        <v>0.15</v>
      </c>
      <c r="L47" s="0" t="s">
        <v>381</v>
      </c>
      <c r="O47" s="0" t="s">
        <v>334</v>
      </c>
      <c r="P47" s="0" t="s">
        <v>335</v>
      </c>
      <c r="Q47" s="0" t="s">
        <v>336</v>
      </c>
    </row>
    <row r="48" customFormat="false" ht="15" hidden="false" customHeight="false" outlineLevel="0" collapsed="false">
      <c r="A48" s="0" t="s">
        <v>442</v>
      </c>
      <c r="G48" s="0" t="s">
        <v>229</v>
      </c>
      <c r="I48" s="0" t="s">
        <v>264</v>
      </c>
      <c r="J48" s="0" t="n">
        <v>0.21</v>
      </c>
      <c r="K48" s="0" t="n">
        <v>0.21</v>
      </c>
      <c r="L48" s="0" t="s">
        <v>381</v>
      </c>
      <c r="O48" s="0" t="s">
        <v>334</v>
      </c>
      <c r="P48" s="0" t="s">
        <v>335</v>
      </c>
      <c r="Q48" s="0" t="s">
        <v>336</v>
      </c>
    </row>
    <row r="49" customFormat="false" ht="15" hidden="false" customHeight="false" outlineLevel="0" collapsed="false">
      <c r="A49" s="0" t="s">
        <v>443</v>
      </c>
      <c r="G49" s="0" t="s">
        <v>237</v>
      </c>
      <c r="I49" s="0" t="s">
        <v>271</v>
      </c>
      <c r="J49" s="0" t="n">
        <v>0.45</v>
      </c>
      <c r="K49" s="0" t="n">
        <v>0.45</v>
      </c>
      <c r="L49" s="0" t="s">
        <v>381</v>
      </c>
      <c r="O49" s="0" t="s">
        <v>334</v>
      </c>
      <c r="P49" s="0" t="s">
        <v>335</v>
      </c>
      <c r="Q49" s="0" t="s">
        <v>336</v>
      </c>
    </row>
    <row r="50" customFormat="false" ht="15" hidden="false" customHeight="false" outlineLevel="0" collapsed="false">
      <c r="A50" s="0" t="s">
        <v>444</v>
      </c>
      <c r="G50" s="0" t="s">
        <v>235</v>
      </c>
      <c r="I50" s="0" t="s">
        <v>273</v>
      </c>
      <c r="J50" s="0" t="n">
        <v>0.54</v>
      </c>
      <c r="K50" s="0" t="n">
        <v>0.54</v>
      </c>
      <c r="L50" s="0" t="s">
        <v>381</v>
      </c>
      <c r="O50" s="0" t="s">
        <v>334</v>
      </c>
      <c r="P50" s="0" t="s">
        <v>335</v>
      </c>
      <c r="Q50" s="0" t="s">
        <v>336</v>
      </c>
    </row>
    <row r="51" customFormat="false" ht="15" hidden="false" customHeight="false" outlineLevel="0" collapsed="false">
      <c r="A51" s="0" t="s">
        <v>445</v>
      </c>
      <c r="G51" s="0" t="s">
        <v>239</v>
      </c>
      <c r="I51" s="0" t="s">
        <v>269</v>
      </c>
      <c r="J51" s="0" t="n">
        <v>0.57</v>
      </c>
      <c r="K51" s="0" t="n">
        <v>0.57</v>
      </c>
      <c r="L51" s="0" t="s">
        <v>381</v>
      </c>
      <c r="O51" s="0" t="s">
        <v>334</v>
      </c>
      <c r="P51" s="0" t="s">
        <v>335</v>
      </c>
      <c r="Q51" s="0" t="s">
        <v>336</v>
      </c>
    </row>
    <row r="52" customFormat="false" ht="15" hidden="false" customHeight="false" outlineLevel="0" collapsed="false">
      <c r="A52" s="0" t="s">
        <v>446</v>
      </c>
      <c r="G52" s="0" t="s">
        <v>447</v>
      </c>
      <c r="I52" s="0" t="s">
        <v>448</v>
      </c>
      <c r="J52" s="0" t="n">
        <v>1</v>
      </c>
      <c r="K52" s="0" t="n">
        <v>1</v>
      </c>
      <c r="L52" s="0" t="s">
        <v>331</v>
      </c>
      <c r="O52" s="0" t="s">
        <v>334</v>
      </c>
    </row>
    <row r="53" customFormat="false" ht="15" hidden="false" customHeight="false" outlineLevel="0" collapsed="false">
      <c r="A53" s="0" t="s">
        <v>449</v>
      </c>
      <c r="G53" s="0" t="s">
        <v>212</v>
      </c>
      <c r="I53" s="0" t="s">
        <v>450</v>
      </c>
      <c r="J53" s="0" t="n">
        <v>0.35</v>
      </c>
      <c r="K53" s="0" t="n">
        <v>0.35</v>
      </c>
      <c r="L53" s="0" t="s">
        <v>331</v>
      </c>
      <c r="M53" s="0" t="s">
        <v>332</v>
      </c>
      <c r="N53" s="0" t="s">
        <v>333</v>
      </c>
      <c r="O53" s="0" t="s">
        <v>334</v>
      </c>
      <c r="P53" s="0" t="s">
        <v>335</v>
      </c>
      <c r="Q53" s="0" t="s">
        <v>336</v>
      </c>
    </row>
    <row r="54" customFormat="false" ht="15" hidden="false" customHeight="false" outlineLevel="0" collapsed="false">
      <c r="A54" s="0" t="s">
        <v>451</v>
      </c>
      <c r="I54" s="0" t="s">
        <v>452</v>
      </c>
      <c r="J54" s="0" t="n">
        <v>0.49</v>
      </c>
      <c r="K54" s="0" t="n">
        <v>0.49</v>
      </c>
      <c r="L54" s="0" t="s">
        <v>331</v>
      </c>
      <c r="M54" s="0" t="s">
        <v>332</v>
      </c>
      <c r="N54" s="0" t="s">
        <v>333</v>
      </c>
      <c r="O54" s="0" t="s">
        <v>334</v>
      </c>
      <c r="P54" s="0" t="s">
        <v>335</v>
      </c>
      <c r="Q54" s="0" t="s">
        <v>336</v>
      </c>
    </row>
    <row r="55" customFormat="false" ht="15" hidden="false" customHeight="false" outlineLevel="0" collapsed="false">
      <c r="A55" s="0" t="s">
        <v>453</v>
      </c>
      <c r="I55" s="0" t="s">
        <v>454</v>
      </c>
      <c r="J55" s="0" t="n">
        <v>1.05</v>
      </c>
      <c r="K55" s="0" t="n">
        <v>1.05</v>
      </c>
      <c r="L55" s="0" t="s">
        <v>331</v>
      </c>
      <c r="M55" s="0" t="s">
        <v>332</v>
      </c>
      <c r="N55" s="0" t="s">
        <v>333</v>
      </c>
      <c r="O55" s="0" t="s">
        <v>334</v>
      </c>
      <c r="P55" s="0" t="s">
        <v>335</v>
      </c>
      <c r="Q55" s="0" t="s">
        <v>336</v>
      </c>
    </row>
    <row r="56" customFormat="false" ht="15" hidden="false" customHeight="false" outlineLevel="0" collapsed="false">
      <c r="A56" s="0" t="s">
        <v>455</v>
      </c>
      <c r="I56" s="0" t="s">
        <v>456</v>
      </c>
      <c r="J56" s="0" t="n">
        <v>1.26</v>
      </c>
      <c r="K56" s="0" t="n">
        <v>1.26</v>
      </c>
      <c r="L56" s="0" t="s">
        <v>331</v>
      </c>
      <c r="M56" s="0" t="s">
        <v>332</v>
      </c>
      <c r="N56" s="0" t="s">
        <v>333</v>
      </c>
      <c r="O56" s="0" t="s">
        <v>334</v>
      </c>
      <c r="P56" s="0" t="s">
        <v>335</v>
      </c>
      <c r="Q56" s="0" t="s">
        <v>336</v>
      </c>
    </row>
    <row r="57" customFormat="false" ht="15" hidden="false" customHeight="false" outlineLevel="0" collapsed="false">
      <c r="A57" s="0" t="s">
        <v>457</v>
      </c>
      <c r="I57" s="0" t="s">
        <v>458</v>
      </c>
      <c r="J57" s="0" t="n">
        <v>1.33</v>
      </c>
      <c r="K57" s="0" t="n">
        <v>1.33</v>
      </c>
      <c r="L57" s="0" t="s">
        <v>331</v>
      </c>
      <c r="M57" s="0" t="s">
        <v>332</v>
      </c>
      <c r="N57" s="0" t="s">
        <v>333</v>
      </c>
      <c r="O57" s="0" t="s">
        <v>334</v>
      </c>
      <c r="P57" s="0" t="s">
        <v>335</v>
      </c>
      <c r="Q57" s="0" t="s">
        <v>336</v>
      </c>
    </row>
    <row r="58" customFormat="false" ht="15" hidden="false" customHeight="false" outlineLevel="0" collapsed="false">
      <c r="A58" s="0" t="s">
        <v>459</v>
      </c>
      <c r="I58" s="0" t="s">
        <v>460</v>
      </c>
      <c r="J58" s="0" t="n">
        <v>1</v>
      </c>
      <c r="K58" s="0" t="n">
        <v>1</v>
      </c>
      <c r="L58" s="0" t="s">
        <v>331</v>
      </c>
      <c r="O58" s="0" t="s">
        <v>334</v>
      </c>
    </row>
    <row r="59" customFormat="false" ht="15" hidden="false" customHeight="false" outlineLevel="0" collapsed="false">
      <c r="A59" s="0" t="s">
        <v>461</v>
      </c>
      <c r="I59" s="0" t="s">
        <v>462</v>
      </c>
      <c r="J59" s="0" t="n">
        <v>0.2875</v>
      </c>
      <c r="K59" s="0" t="n">
        <v>0.2875</v>
      </c>
      <c r="L59" s="0" t="s">
        <v>331</v>
      </c>
      <c r="M59" s="0" t="s">
        <v>332</v>
      </c>
      <c r="N59" s="0" t="s">
        <v>333</v>
      </c>
      <c r="O59" s="0" t="s">
        <v>334</v>
      </c>
      <c r="P59" s="0" t="s">
        <v>335</v>
      </c>
      <c r="Q59" s="0" t="s">
        <v>336</v>
      </c>
    </row>
    <row r="60" customFormat="false" ht="15" hidden="false" customHeight="false" outlineLevel="0" collapsed="false">
      <c r="A60" s="0" t="s">
        <v>463</v>
      </c>
      <c r="I60" s="0" t="s">
        <v>464</v>
      </c>
      <c r="J60" s="0" t="n">
        <v>0.4025</v>
      </c>
      <c r="K60" s="0" t="n">
        <v>0.4025</v>
      </c>
      <c r="L60" s="0" t="s">
        <v>331</v>
      </c>
      <c r="M60" s="0" t="s">
        <v>332</v>
      </c>
      <c r="N60" s="0" t="s">
        <v>333</v>
      </c>
      <c r="O60" s="0" t="s">
        <v>334</v>
      </c>
      <c r="P60" s="0" t="s">
        <v>335</v>
      </c>
      <c r="Q60" s="0" t="s">
        <v>336</v>
      </c>
    </row>
    <row r="61" customFormat="false" ht="15" hidden="false" customHeight="false" outlineLevel="0" collapsed="false">
      <c r="A61" s="0" t="s">
        <v>465</v>
      </c>
      <c r="I61" s="0" t="s">
        <v>466</v>
      </c>
      <c r="J61" s="0" t="n">
        <v>0.8625</v>
      </c>
      <c r="K61" s="0" t="n">
        <v>0.8625</v>
      </c>
      <c r="L61" s="0" t="s">
        <v>331</v>
      </c>
      <c r="M61" s="0" t="s">
        <v>332</v>
      </c>
      <c r="N61" s="0" t="s">
        <v>333</v>
      </c>
      <c r="O61" s="0" t="s">
        <v>334</v>
      </c>
      <c r="P61" s="0" t="s">
        <v>335</v>
      </c>
      <c r="Q61" s="0" t="s">
        <v>336</v>
      </c>
    </row>
    <row r="62" customFormat="false" ht="15" hidden="false" customHeight="false" outlineLevel="0" collapsed="false">
      <c r="A62" s="0" t="s">
        <v>467</v>
      </c>
      <c r="I62" s="0" t="s">
        <v>468</v>
      </c>
      <c r="J62" s="0" t="n">
        <v>1.035</v>
      </c>
      <c r="K62" s="0" t="n">
        <v>1.035</v>
      </c>
      <c r="L62" s="0" t="s">
        <v>331</v>
      </c>
      <c r="M62" s="0" t="s">
        <v>332</v>
      </c>
      <c r="N62" s="0" t="s">
        <v>333</v>
      </c>
      <c r="O62" s="0" t="s">
        <v>334</v>
      </c>
      <c r="P62" s="0" t="s">
        <v>335</v>
      </c>
      <c r="Q62" s="0" t="s">
        <v>336</v>
      </c>
    </row>
    <row r="63" customFormat="false" ht="15" hidden="false" customHeight="false" outlineLevel="0" collapsed="false">
      <c r="A63" s="0" t="s">
        <v>469</v>
      </c>
      <c r="I63" s="0" t="s">
        <v>470</v>
      </c>
      <c r="J63" s="0" t="n">
        <v>1.0925</v>
      </c>
      <c r="K63" s="0" t="n">
        <v>1.0925</v>
      </c>
      <c r="L63" s="0" t="s">
        <v>331</v>
      </c>
      <c r="M63" s="0" t="s">
        <v>332</v>
      </c>
      <c r="N63" s="0" t="s">
        <v>333</v>
      </c>
      <c r="O63" s="0" t="s">
        <v>334</v>
      </c>
      <c r="P63" s="0" t="s">
        <v>335</v>
      </c>
      <c r="Q63" s="0" t="s">
        <v>336</v>
      </c>
    </row>
    <row r="64" customFormat="false" ht="15" hidden="false" customHeight="false" outlineLevel="0" collapsed="false">
      <c r="A64" s="0" t="s">
        <v>471</v>
      </c>
      <c r="I64" s="0" t="s">
        <v>472</v>
      </c>
      <c r="J64" s="0" t="n">
        <v>1</v>
      </c>
      <c r="K64" s="0" t="n">
        <v>1</v>
      </c>
      <c r="L64" s="0" t="s">
        <v>331</v>
      </c>
      <c r="O64" s="0" t="s">
        <v>334</v>
      </c>
    </row>
    <row r="65" customFormat="false" ht="15" hidden="false" customHeight="false" outlineLevel="0" collapsed="false">
      <c r="A65" s="0" t="s">
        <v>473</v>
      </c>
      <c r="I65" s="0" t="s">
        <v>474</v>
      </c>
      <c r="J65" s="0" t="n">
        <v>0.1</v>
      </c>
      <c r="K65" s="0" t="n">
        <v>0.1</v>
      </c>
      <c r="L65" s="0" t="s">
        <v>331</v>
      </c>
      <c r="M65" s="0" t="s">
        <v>332</v>
      </c>
      <c r="N65" s="0" t="s">
        <v>333</v>
      </c>
      <c r="O65" s="0" t="s">
        <v>334</v>
      </c>
      <c r="P65" s="0" t="s">
        <v>335</v>
      </c>
      <c r="Q65" s="0" t="s">
        <v>336</v>
      </c>
    </row>
    <row r="66" customFormat="false" ht="15" hidden="false" customHeight="false" outlineLevel="0" collapsed="false">
      <c r="A66" s="0" t="s">
        <v>475</v>
      </c>
      <c r="I66" s="0" t="s">
        <v>476</v>
      </c>
      <c r="J66" s="0" t="n">
        <v>0.14</v>
      </c>
      <c r="K66" s="0" t="n">
        <v>0.14</v>
      </c>
      <c r="L66" s="0" t="s">
        <v>331</v>
      </c>
      <c r="M66" s="0" t="s">
        <v>332</v>
      </c>
      <c r="N66" s="0" t="s">
        <v>333</v>
      </c>
      <c r="O66" s="0" t="s">
        <v>334</v>
      </c>
      <c r="P66" s="0" t="s">
        <v>335</v>
      </c>
      <c r="Q66" s="0" t="s">
        <v>336</v>
      </c>
    </row>
    <row r="67" customFormat="false" ht="15" hidden="false" customHeight="false" outlineLevel="0" collapsed="false">
      <c r="A67" s="0" t="s">
        <v>477</v>
      </c>
      <c r="I67" s="0" t="s">
        <v>478</v>
      </c>
      <c r="J67" s="0" t="n">
        <v>0.3</v>
      </c>
      <c r="K67" s="0" t="n">
        <v>0.3</v>
      </c>
      <c r="L67" s="0" t="s">
        <v>331</v>
      </c>
      <c r="M67" s="0" t="s">
        <v>332</v>
      </c>
      <c r="N67" s="0" t="s">
        <v>333</v>
      </c>
      <c r="O67" s="0" t="s">
        <v>334</v>
      </c>
      <c r="P67" s="0" t="s">
        <v>335</v>
      </c>
      <c r="Q67" s="0" t="s">
        <v>336</v>
      </c>
    </row>
    <row r="68" customFormat="false" ht="15" hidden="false" customHeight="false" outlineLevel="0" collapsed="false">
      <c r="A68" s="0" t="s">
        <v>479</v>
      </c>
      <c r="I68" s="0" t="s">
        <v>480</v>
      </c>
      <c r="J68" s="0" t="n">
        <v>0.36</v>
      </c>
      <c r="K68" s="0" t="n">
        <v>0.36</v>
      </c>
      <c r="L68" s="0" t="s">
        <v>331</v>
      </c>
      <c r="M68" s="0" t="s">
        <v>332</v>
      </c>
      <c r="N68" s="0" t="s">
        <v>333</v>
      </c>
      <c r="O68" s="0" t="s">
        <v>334</v>
      </c>
      <c r="P68" s="0" t="s">
        <v>335</v>
      </c>
      <c r="Q68" s="0" t="s">
        <v>336</v>
      </c>
    </row>
    <row r="69" customFormat="false" ht="15" hidden="false" customHeight="false" outlineLevel="0" collapsed="false">
      <c r="A69" s="0" t="s">
        <v>481</v>
      </c>
      <c r="I69" s="0" t="s">
        <v>482</v>
      </c>
      <c r="J69" s="0" t="n">
        <v>0.38</v>
      </c>
      <c r="K69" s="0" t="n">
        <v>0.38</v>
      </c>
      <c r="L69" s="0" t="s">
        <v>331</v>
      </c>
      <c r="M69" s="0" t="s">
        <v>332</v>
      </c>
      <c r="N69" s="0" t="s">
        <v>333</v>
      </c>
      <c r="O69" s="0" t="s">
        <v>334</v>
      </c>
      <c r="P69" s="0" t="s">
        <v>335</v>
      </c>
      <c r="Q69" s="0" t="s">
        <v>336</v>
      </c>
    </row>
    <row r="70" customFormat="false" ht="15" hidden="false" customHeight="false" outlineLevel="0" collapsed="false">
      <c r="A70" s="0" t="s">
        <v>483</v>
      </c>
      <c r="D70" s="0" t="s">
        <v>124</v>
      </c>
      <c r="I70" s="0" t="s">
        <v>484</v>
      </c>
      <c r="J70" s="0" t="n">
        <v>1</v>
      </c>
      <c r="K70" s="0" t="n">
        <v>1</v>
      </c>
      <c r="L70" s="0" t="s">
        <v>331</v>
      </c>
      <c r="O70" s="0" t="s">
        <v>334</v>
      </c>
    </row>
    <row r="71" customFormat="false" ht="15" hidden="false" customHeight="false" outlineLevel="0" collapsed="false">
      <c r="D71" s="0" t="s">
        <v>113</v>
      </c>
      <c r="I71" s="0" t="s">
        <v>485</v>
      </c>
      <c r="J71" s="0" t="n">
        <v>3</v>
      </c>
      <c r="K71" s="0" t="n">
        <v>3</v>
      </c>
      <c r="L71" s="0" t="s">
        <v>381</v>
      </c>
      <c r="O71" s="0" t="s">
        <v>334</v>
      </c>
      <c r="P71" s="0" t="s">
        <v>335</v>
      </c>
      <c r="Q71" s="0" t="s">
        <v>336</v>
      </c>
    </row>
    <row r="72" customFormat="false" ht="15" hidden="false" customHeight="false" outlineLevel="0" collapsed="false">
      <c r="D72" s="0" t="s">
        <v>125</v>
      </c>
      <c r="E72" s="0" t="n">
        <v>0.32</v>
      </c>
      <c r="I72" s="0" t="s">
        <v>486</v>
      </c>
      <c r="J72" s="0" t="n">
        <v>3</v>
      </c>
      <c r="K72" s="0" t="n">
        <v>3</v>
      </c>
      <c r="L72" s="0" t="s">
        <v>381</v>
      </c>
      <c r="O72" s="0" t="s">
        <v>334</v>
      </c>
      <c r="P72" s="0" t="s">
        <v>335</v>
      </c>
      <c r="Q72" s="0" t="s">
        <v>336</v>
      </c>
    </row>
    <row r="73" customFormat="false" ht="15" hidden="false" customHeight="false" outlineLevel="0" collapsed="false">
      <c r="D73" s="0" t="s">
        <v>126</v>
      </c>
      <c r="E73" s="0" t="n">
        <v>0.33</v>
      </c>
      <c r="I73" s="0" t="s">
        <v>487</v>
      </c>
      <c r="J73" s="0" t="n">
        <v>0.3</v>
      </c>
      <c r="K73" s="0" t="n">
        <v>0.3</v>
      </c>
      <c r="L73" s="0" t="s">
        <v>381</v>
      </c>
      <c r="O73" s="0" t="s">
        <v>334</v>
      </c>
    </row>
    <row r="74" customFormat="false" ht="15" hidden="false" customHeight="false" outlineLevel="0" collapsed="false">
      <c r="D74" s="0" t="s">
        <v>127</v>
      </c>
      <c r="E74" s="0" t="n">
        <v>0.34</v>
      </c>
      <c r="I74" s="0" t="s">
        <v>488</v>
      </c>
      <c r="J74" s="0" t="n">
        <v>0.6</v>
      </c>
      <c r="K74" s="0" t="n">
        <v>0.6</v>
      </c>
      <c r="L74" s="0" t="s">
        <v>381</v>
      </c>
      <c r="O74" s="0" t="s">
        <v>334</v>
      </c>
      <c r="P74" s="0" t="s">
        <v>335</v>
      </c>
      <c r="Q74" s="0" t="s">
        <v>336</v>
      </c>
    </row>
    <row r="75" customFormat="false" ht="15" hidden="false" customHeight="false" outlineLevel="0" collapsed="false">
      <c r="D75" s="0" t="s">
        <v>128</v>
      </c>
      <c r="E75" s="0" t="n">
        <v>0.35</v>
      </c>
      <c r="I75" s="0" t="s">
        <v>489</v>
      </c>
      <c r="J75" s="0" t="n">
        <v>0.2</v>
      </c>
      <c r="K75" s="0" t="n">
        <v>0.2</v>
      </c>
      <c r="L75" s="0" t="s">
        <v>331</v>
      </c>
      <c r="M75" s="0" t="s">
        <v>332</v>
      </c>
      <c r="N75" s="0" t="s">
        <v>333</v>
      </c>
    </row>
    <row r="76" customFormat="false" ht="15" hidden="false" customHeight="false" outlineLevel="0" collapsed="false">
      <c r="D76" s="0" t="s">
        <v>129</v>
      </c>
      <c r="E76" s="0" t="n">
        <v>0.36</v>
      </c>
      <c r="I76" s="0" t="s">
        <v>490</v>
      </c>
      <c r="J76" s="0" t="n">
        <v>0.3</v>
      </c>
      <c r="K76" s="0" t="n">
        <v>0.3</v>
      </c>
      <c r="L76" s="0" t="s">
        <v>381</v>
      </c>
      <c r="M76" s="0" t="s">
        <v>332</v>
      </c>
      <c r="N76" s="0" t="s">
        <v>333</v>
      </c>
    </row>
    <row r="77" customFormat="false" ht="15" hidden="false" customHeight="false" outlineLevel="0" collapsed="false">
      <c r="D77" s="0" t="s">
        <v>130</v>
      </c>
      <c r="E77" s="0" t="n">
        <v>0.37</v>
      </c>
      <c r="I77" s="0" t="s">
        <v>491</v>
      </c>
      <c r="J77" s="0" t="n">
        <v>0.2</v>
      </c>
      <c r="K77" s="0" t="n">
        <v>0.2</v>
      </c>
      <c r="L77" s="0" t="s">
        <v>331</v>
      </c>
      <c r="M77" s="0" t="s">
        <v>332</v>
      </c>
      <c r="N77" s="0" t="s">
        <v>333</v>
      </c>
    </row>
    <row r="78" customFormat="false" ht="15" hidden="false" customHeight="false" outlineLevel="0" collapsed="false">
      <c r="D78" s="0" t="s">
        <v>131</v>
      </c>
      <c r="E78" s="0" t="n">
        <v>0.39</v>
      </c>
      <c r="I78" s="0" t="s">
        <v>492</v>
      </c>
      <c r="J78" s="0" t="n">
        <v>0.3</v>
      </c>
      <c r="K78" s="0" t="n">
        <v>0.3</v>
      </c>
      <c r="L78" s="0" t="s">
        <v>381</v>
      </c>
      <c r="M78" s="0" t="s">
        <v>332</v>
      </c>
      <c r="N78" s="0" t="s">
        <v>333</v>
      </c>
    </row>
    <row r="79" customFormat="false" ht="15" hidden="false" customHeight="false" outlineLevel="0" collapsed="false">
      <c r="D79" s="0" t="s">
        <v>132</v>
      </c>
      <c r="E79" s="0" t="n">
        <v>0.4</v>
      </c>
      <c r="I79" s="0" t="s">
        <v>493</v>
      </c>
      <c r="J79" s="0" t="n">
        <v>0.05</v>
      </c>
      <c r="K79" s="0" t="n">
        <v>0.05</v>
      </c>
      <c r="L79" s="0" t="s">
        <v>331</v>
      </c>
      <c r="O79" s="0" t="s">
        <v>334</v>
      </c>
      <c r="P79" s="0" t="s">
        <v>335</v>
      </c>
      <c r="Q79" s="0" t="s">
        <v>336</v>
      </c>
    </row>
    <row r="80" customFormat="false" ht="15" hidden="false" customHeight="false" outlineLevel="0" collapsed="false">
      <c r="I80" s="0" t="s">
        <v>494</v>
      </c>
      <c r="J80" s="0" t="n">
        <v>0.05</v>
      </c>
      <c r="K80" s="0" t="n">
        <v>0.05</v>
      </c>
      <c r="L80" s="0" t="s">
        <v>331</v>
      </c>
      <c r="O80" s="0" t="s">
        <v>334</v>
      </c>
      <c r="P80" s="0" t="s">
        <v>335</v>
      </c>
      <c r="Q80" s="0" t="s">
        <v>336</v>
      </c>
    </row>
    <row r="81" customFormat="false" ht="15" hidden="false" customHeight="false" outlineLevel="0" collapsed="false">
      <c r="I81" s="0" t="s">
        <v>495</v>
      </c>
      <c r="J81" s="0" t="n">
        <v>0.05</v>
      </c>
      <c r="K81" s="0" t="n">
        <v>0.05</v>
      </c>
      <c r="L81" s="0" t="s">
        <v>331</v>
      </c>
      <c r="O81" s="0" t="s">
        <v>334</v>
      </c>
      <c r="P81" s="0" t="s">
        <v>335</v>
      </c>
      <c r="Q81" s="0" t="s">
        <v>336</v>
      </c>
    </row>
    <row r="82" customFormat="false" ht="15" hidden="false" customHeight="false" outlineLevel="0" collapsed="false">
      <c r="I82" s="0" t="s">
        <v>496</v>
      </c>
      <c r="J82" s="0" t="n">
        <v>0.05</v>
      </c>
      <c r="K82" s="0" t="n">
        <v>0.05</v>
      </c>
      <c r="L82" s="0" t="s">
        <v>331</v>
      </c>
      <c r="O82" s="0" t="s">
        <v>334</v>
      </c>
      <c r="P82" s="0" t="s">
        <v>335</v>
      </c>
      <c r="Q82" s="0" t="s">
        <v>336</v>
      </c>
    </row>
    <row r="83" customFormat="false" ht="15" hidden="false" customHeight="false" outlineLevel="0" collapsed="false">
      <c r="I83" s="0" t="s">
        <v>497</v>
      </c>
      <c r="J83" s="0" t="n">
        <v>1</v>
      </c>
      <c r="K83" s="0" t="n">
        <v>1</v>
      </c>
      <c r="L83" s="0" t="s">
        <v>331</v>
      </c>
      <c r="O83" s="0" t="s">
        <v>334</v>
      </c>
    </row>
    <row r="84" customFormat="false" ht="15" hidden="false" customHeight="false" outlineLevel="0" collapsed="false">
      <c r="I84" s="0" t="s">
        <v>498</v>
      </c>
      <c r="J84" s="0" t="n">
        <v>1</v>
      </c>
      <c r="K84" s="0" t="n">
        <v>1</v>
      </c>
      <c r="L84" s="0" t="s">
        <v>331</v>
      </c>
      <c r="O84" s="0" t="s">
        <v>334</v>
      </c>
    </row>
    <row r="85" customFormat="false" ht="15" hidden="false" customHeight="false" outlineLevel="0" collapsed="false">
      <c r="I85" s="0" t="s">
        <v>499</v>
      </c>
      <c r="J85" s="0" t="n">
        <v>1</v>
      </c>
      <c r="K85" s="0" t="n">
        <v>1</v>
      </c>
      <c r="L85" s="0" t="s">
        <v>331</v>
      </c>
      <c r="O85" s="0" t="s">
        <v>334</v>
      </c>
    </row>
    <row r="86" customFormat="false" ht="15" hidden="false" customHeight="false" outlineLevel="0" collapsed="false">
      <c r="I86" s="0" t="s">
        <v>500</v>
      </c>
      <c r="J86" s="0" t="n">
        <v>0.25</v>
      </c>
      <c r="K86" s="0" t="n">
        <v>0.25</v>
      </c>
      <c r="L86" s="0" t="s">
        <v>331</v>
      </c>
      <c r="O86" s="0" t="s">
        <v>334</v>
      </c>
      <c r="P86" s="0" t="s">
        <v>335</v>
      </c>
      <c r="Q86" s="0" t="s">
        <v>336</v>
      </c>
    </row>
    <row r="87" customFormat="false" ht="15" hidden="false" customHeight="false" outlineLevel="0" collapsed="false">
      <c r="I87" s="0" t="s">
        <v>501</v>
      </c>
      <c r="J87" s="0" t="n">
        <v>0.3</v>
      </c>
      <c r="K87" s="0" t="n">
        <v>0.3</v>
      </c>
      <c r="L87" s="0" t="s">
        <v>331</v>
      </c>
      <c r="O87" s="0" t="s">
        <v>334</v>
      </c>
      <c r="P87" s="0" t="s">
        <v>335</v>
      </c>
      <c r="Q87" s="0" t="s">
        <v>336</v>
      </c>
    </row>
    <row r="88" customFormat="false" ht="15" hidden="false" customHeight="false" outlineLevel="0" collapsed="false">
      <c r="I88" s="0" t="s">
        <v>502</v>
      </c>
      <c r="J88" s="0" t="n">
        <v>1</v>
      </c>
      <c r="K88" s="0" t="n">
        <v>1</v>
      </c>
      <c r="L88" s="0" t="s">
        <v>331</v>
      </c>
      <c r="O88" s="0" t="s">
        <v>334</v>
      </c>
      <c r="P88" s="0" t="s">
        <v>335</v>
      </c>
      <c r="Q88" s="0" t="s">
        <v>336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LibreOffice/6.4.2.2$Windows_X86_64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2020-05-11T18:11:35Z</dcterms:created>
  <dc:creator/>
  <dc:description/>
  <dc:language>pt-BR</dc:language>
  <cp:lastModifiedBy/>
  <dcterms:modified xsi:type="dcterms:W3CDTF">2022-09-09T10:01:37Z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